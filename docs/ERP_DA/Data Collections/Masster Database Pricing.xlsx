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ابومازن\"/>
    </mc:Choice>
  </mc:AlternateContent>
  <xr:revisionPtr revIDLastSave="0" documentId="8_{B884AFC7-04FF-4E9A-96CA-81717C221293}" xr6:coauthVersionLast="47" xr6:coauthVersionMax="47" xr10:uidLastSave="{00000000-0000-0000-0000-000000000000}"/>
  <bookViews>
    <workbookView xWindow="-93" yWindow="-93" windowWidth="25786" windowHeight="13866" xr2:uid="{D57130C8-A52C-460E-8E04-948BBBDC19CC}"/>
  </bookViews>
  <sheets>
    <sheet name="Masster Database Pricing" sheetId="1" r:id="rId1"/>
  </sheets>
  <externalReferences>
    <externalReference r:id="rId2"/>
  </externalReferences>
  <definedNames>
    <definedName name="_xlnm._FilterDatabase" localSheetId="0" hidden="1">'Masster Database Pricing'!$A$3:$A$125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72" i="1" l="1"/>
  <c r="B566" i="1"/>
  <c r="B560" i="1"/>
  <c r="B555" i="1"/>
  <c r="B550" i="1"/>
  <c r="B545" i="1"/>
  <c r="B540" i="1"/>
  <c r="B535" i="1"/>
  <c r="B530" i="1"/>
  <c r="B525" i="1"/>
  <c r="C521" i="1"/>
  <c r="C513" i="1"/>
  <c r="C515" i="1" s="1"/>
  <c r="G507" i="1"/>
  <c r="C512" i="1" s="1"/>
  <c r="F507" i="1"/>
  <c r="E507" i="1"/>
  <c r="D507" i="1"/>
  <c r="B514" i="1" s="1"/>
  <c r="G490" i="1"/>
  <c r="C505" i="1" s="1"/>
  <c r="F490" i="1"/>
  <c r="E490" i="1"/>
  <c r="D490" i="1"/>
  <c r="B497" i="1" s="1"/>
  <c r="C488" i="1"/>
  <c r="C478" i="1"/>
  <c r="C477" i="1"/>
  <c r="G473" i="1"/>
  <c r="C487" i="1" s="1"/>
  <c r="F473" i="1"/>
  <c r="B479" i="1" s="1"/>
  <c r="B482" i="1" s="1"/>
  <c r="B483" i="1" s="1"/>
  <c r="E473" i="1"/>
  <c r="D473" i="1"/>
  <c r="B476" i="1" s="1"/>
  <c r="B463" i="1"/>
  <c r="B470" i="1" s="1"/>
  <c r="C462" i="1"/>
  <c r="C468" i="1" s="1"/>
  <c r="C469" i="1" s="1"/>
  <c r="C461" i="1"/>
  <c r="C460" i="1"/>
  <c r="B459" i="1"/>
  <c r="G456" i="1"/>
  <c r="C471" i="1" s="1"/>
  <c r="F456" i="1"/>
  <c r="E456" i="1"/>
  <c r="D456" i="1"/>
  <c r="B462" i="1" s="1"/>
  <c r="B465" i="1" s="1"/>
  <c r="B466" i="1" s="1"/>
  <c r="C453" i="1"/>
  <c r="C445" i="1"/>
  <c r="C447" i="1" s="1"/>
  <c r="C444" i="1"/>
  <c r="G439" i="1"/>
  <c r="C443" i="1" s="1"/>
  <c r="F439" i="1"/>
  <c r="E439" i="1"/>
  <c r="D439" i="1"/>
  <c r="B446" i="1" s="1"/>
  <c r="C437" i="1"/>
  <c r="G422" i="1"/>
  <c r="C436" i="1" s="1"/>
  <c r="F422" i="1"/>
  <c r="B429" i="1" s="1"/>
  <c r="E422" i="1"/>
  <c r="D422" i="1"/>
  <c r="B428" i="1" s="1"/>
  <c r="B431" i="1" s="1"/>
  <c r="B432" i="1" s="1"/>
  <c r="C420" i="1"/>
  <c r="C419" i="1"/>
  <c r="C410" i="1"/>
  <c r="C409" i="1"/>
  <c r="G405" i="1"/>
  <c r="C411" i="1" s="1"/>
  <c r="F405" i="1"/>
  <c r="E405" i="1"/>
  <c r="D405" i="1"/>
  <c r="B408" i="1" s="1"/>
  <c r="C392" i="1"/>
  <c r="B391" i="1"/>
  <c r="G388" i="1"/>
  <c r="B395" i="1" s="1"/>
  <c r="F388" i="1"/>
  <c r="E388" i="1"/>
  <c r="D388" i="1"/>
  <c r="B394" i="1" s="1"/>
  <c r="B397" i="1" s="1"/>
  <c r="B398" i="1" s="1"/>
  <c r="C385" i="1"/>
  <c r="C377" i="1"/>
  <c r="C379" i="1" s="1"/>
  <c r="C376" i="1"/>
  <c r="G371" i="1"/>
  <c r="C375" i="1" s="1"/>
  <c r="F371" i="1"/>
  <c r="E371" i="1"/>
  <c r="D371" i="1"/>
  <c r="B378" i="1" s="1"/>
  <c r="C369" i="1"/>
  <c r="B368" i="1"/>
  <c r="B362" i="1"/>
  <c r="B361" i="1"/>
  <c r="G354" i="1"/>
  <c r="C368" i="1" s="1"/>
  <c r="F354" i="1"/>
  <c r="E354" i="1"/>
  <c r="D354" i="1"/>
  <c r="B360" i="1" s="1"/>
  <c r="B363" i="1" s="1"/>
  <c r="B364" i="1" s="1"/>
  <c r="B350" i="1"/>
  <c r="B343" i="1"/>
  <c r="B336" i="1"/>
  <c r="B329" i="1"/>
  <c r="B322" i="1"/>
  <c r="B315" i="1"/>
  <c r="B308" i="1"/>
  <c r="B301" i="1"/>
  <c r="B296" i="1"/>
  <c r="B303" i="1" s="1"/>
  <c r="B295" i="1"/>
  <c r="B302" i="1" s="1"/>
  <c r="B294" i="1"/>
  <c r="C269" i="1"/>
  <c r="C268" i="1"/>
  <c r="D264" i="1"/>
  <c r="D263" i="1"/>
  <c r="B263" i="1"/>
  <c r="B264" i="1" s="1"/>
  <c r="B261" i="1"/>
  <c r="B268" i="1" s="1"/>
  <c r="C260" i="1"/>
  <c r="C266" i="1" s="1"/>
  <c r="C267" i="1" s="1"/>
  <c r="B260" i="1"/>
  <c r="B257" i="1"/>
  <c r="B226" i="1"/>
  <c r="C170" i="1"/>
  <c r="C169" i="1"/>
  <c r="C168" i="1"/>
  <c r="C167" i="1"/>
  <c r="C166" i="1"/>
  <c r="C165" i="1"/>
  <c r="C164" i="1"/>
  <c r="C150" i="1"/>
  <c r="C149" i="1"/>
  <c r="C148" i="1"/>
  <c r="C147" i="1"/>
  <c r="C141" i="1"/>
  <c r="E140" i="1"/>
  <c r="D140" i="1"/>
  <c r="C140" i="1"/>
  <c r="C139" i="1"/>
  <c r="C138" i="1"/>
  <c r="C136" i="1"/>
  <c r="C135" i="1"/>
  <c r="C134" i="1"/>
  <c r="E133" i="1"/>
  <c r="D133" i="1"/>
  <c r="B137" i="1" s="1"/>
  <c r="C137" i="1" s="1"/>
  <c r="C133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434" i="1" l="1"/>
  <c r="B433" i="1"/>
  <c r="B435" i="1" s="1"/>
  <c r="B437" i="1" s="1"/>
  <c r="B366" i="1"/>
  <c r="B365" i="1"/>
  <c r="B367" i="1" s="1"/>
  <c r="B369" i="1" s="1"/>
  <c r="B468" i="1"/>
  <c r="B467" i="1"/>
  <c r="B469" i="1" s="1"/>
  <c r="B471" i="1" s="1"/>
  <c r="B402" i="1"/>
  <c r="B396" i="1"/>
  <c r="B430" i="1"/>
  <c r="B436" i="1"/>
  <c r="B266" i="1"/>
  <c r="B265" i="1"/>
  <c r="B267" i="1" s="1"/>
  <c r="B269" i="1" s="1"/>
  <c r="B379" i="1"/>
  <c r="B385" i="1"/>
  <c r="B504" i="1"/>
  <c r="B498" i="1"/>
  <c r="B453" i="1"/>
  <c r="B447" i="1"/>
  <c r="C416" i="1"/>
  <c r="C415" i="1"/>
  <c r="C413" i="1"/>
  <c r="C412" i="1"/>
  <c r="C414" i="1"/>
  <c r="C417" i="1"/>
  <c r="C418" i="1" s="1"/>
  <c r="B521" i="1"/>
  <c r="B515" i="1"/>
  <c r="B400" i="1"/>
  <c r="B399" i="1"/>
  <c r="B401" i="1" s="1"/>
  <c r="B403" i="1" s="1"/>
  <c r="B484" i="1"/>
  <c r="B486" i="1" s="1"/>
  <c r="B488" i="1" s="1"/>
  <c r="B485" i="1"/>
  <c r="C383" i="1"/>
  <c r="C384" i="1" s="1"/>
  <c r="C451" i="1"/>
  <c r="C452" i="1" s="1"/>
  <c r="C262" i="1"/>
  <c r="B309" i="1"/>
  <c r="B357" i="1"/>
  <c r="B411" i="1"/>
  <c r="B414" i="1" s="1"/>
  <c r="B415" i="1" s="1"/>
  <c r="B425" i="1"/>
  <c r="C463" i="1"/>
  <c r="B493" i="1"/>
  <c r="C261" i="1"/>
  <c r="B262" i="1"/>
  <c r="B310" i="1"/>
  <c r="C358" i="1"/>
  <c r="C380" i="1"/>
  <c r="C386" i="1"/>
  <c r="C426" i="1"/>
  <c r="C448" i="1"/>
  <c r="C454" i="1"/>
  <c r="B464" i="1"/>
  <c r="C479" i="1"/>
  <c r="C494" i="1"/>
  <c r="C516" i="1"/>
  <c r="C522" i="1"/>
  <c r="C394" i="1"/>
  <c r="C263" i="1"/>
  <c r="C359" i="1"/>
  <c r="C402" i="1"/>
  <c r="B412" i="1"/>
  <c r="C427" i="1"/>
  <c r="C464" i="1"/>
  <c r="C470" i="1"/>
  <c r="B480" i="1"/>
  <c r="C495" i="1"/>
  <c r="B316" i="1"/>
  <c r="B323" i="1" s="1"/>
  <c r="B330" i="1" s="1"/>
  <c r="B337" i="1" s="1"/>
  <c r="B344" i="1" s="1"/>
  <c r="B351" i="1" s="1"/>
  <c r="B374" i="1"/>
  <c r="C381" i="1"/>
  <c r="B442" i="1"/>
  <c r="C449" i="1"/>
  <c r="B496" i="1"/>
  <c r="B499" i="1" s="1"/>
  <c r="B500" i="1" s="1"/>
  <c r="B510" i="1"/>
  <c r="C517" i="1"/>
  <c r="B317" i="1"/>
  <c r="B324" i="1" s="1"/>
  <c r="B331" i="1" s="1"/>
  <c r="B338" i="1" s="1"/>
  <c r="B345" i="1" s="1"/>
  <c r="B352" i="1" s="1"/>
  <c r="C360" i="1"/>
  <c r="C403" i="1"/>
  <c r="C428" i="1"/>
  <c r="C465" i="1"/>
  <c r="C496" i="1"/>
  <c r="C511" i="1"/>
  <c r="C264" i="1"/>
  <c r="C382" i="1"/>
  <c r="C450" i="1"/>
  <c r="C518" i="1"/>
  <c r="B377" i="1"/>
  <c r="B380" i="1" s="1"/>
  <c r="B381" i="1" s="1"/>
  <c r="B445" i="1"/>
  <c r="B448" i="1" s="1"/>
  <c r="B449" i="1" s="1"/>
  <c r="C466" i="1"/>
  <c r="B513" i="1"/>
  <c r="B516" i="1" s="1"/>
  <c r="B517" i="1" s="1"/>
  <c r="C519" i="1"/>
  <c r="C520" i="1" s="1"/>
  <c r="C265" i="1"/>
  <c r="C393" i="1"/>
  <c r="C467" i="1"/>
  <c r="C504" i="1"/>
  <c r="C378" i="1"/>
  <c r="C446" i="1"/>
  <c r="C514" i="1"/>
  <c r="C399" i="1" l="1"/>
  <c r="C398" i="1"/>
  <c r="C397" i="1"/>
  <c r="C396" i="1"/>
  <c r="C400" i="1"/>
  <c r="C401" i="1" s="1"/>
  <c r="C395" i="1"/>
  <c r="C431" i="1"/>
  <c r="C430" i="1"/>
  <c r="C429" i="1"/>
  <c r="C434" i="1"/>
  <c r="C435" i="1" s="1"/>
  <c r="C433" i="1"/>
  <c r="C432" i="1"/>
  <c r="B519" i="1"/>
  <c r="B518" i="1"/>
  <c r="B520" i="1" s="1"/>
  <c r="B522" i="1" s="1"/>
  <c r="C363" i="1"/>
  <c r="C362" i="1"/>
  <c r="C361" i="1"/>
  <c r="C366" i="1"/>
  <c r="C367" i="1" s="1"/>
  <c r="C365" i="1"/>
  <c r="C364" i="1"/>
  <c r="B451" i="1"/>
  <c r="B450" i="1"/>
  <c r="B452" i="1" s="1"/>
  <c r="B454" i="1" s="1"/>
  <c r="B416" i="1"/>
  <c r="B418" i="1" s="1"/>
  <c r="B420" i="1" s="1"/>
  <c r="B417" i="1"/>
  <c r="B487" i="1"/>
  <c r="B481" i="1"/>
  <c r="C484" i="1"/>
  <c r="C483" i="1"/>
  <c r="C481" i="1"/>
  <c r="C480" i="1"/>
  <c r="C482" i="1"/>
  <c r="C485" i="1"/>
  <c r="C486" i="1" s="1"/>
  <c r="B383" i="1"/>
  <c r="B382" i="1"/>
  <c r="B384" i="1" s="1"/>
  <c r="B386" i="1" s="1"/>
  <c r="B419" i="1"/>
  <c r="B413" i="1"/>
  <c r="B502" i="1"/>
  <c r="B501" i="1"/>
  <c r="B503" i="1" s="1"/>
  <c r="B505" i="1" s="1"/>
  <c r="C499" i="1"/>
  <c r="C498" i="1"/>
  <c r="C497" i="1"/>
  <c r="C502" i="1"/>
  <c r="C503" i="1" s="1"/>
  <c r="C501" i="1"/>
  <c r="C500" i="1"/>
</calcChain>
</file>

<file path=xl/sharedStrings.xml><?xml version="1.0" encoding="utf-8"?>
<sst xmlns="http://schemas.openxmlformats.org/spreadsheetml/2006/main" count="663" uniqueCount="276">
  <si>
    <t>الزجاج</t>
  </si>
  <si>
    <t>زجاج الشاور</t>
  </si>
  <si>
    <t>زجاج الواجهات</t>
  </si>
  <si>
    <t>زجاج الهاندريل</t>
  </si>
  <si>
    <t>زجاج واجهات الاسبايدر</t>
  </si>
  <si>
    <t>زجاج تجاليد و مرايات وخام</t>
  </si>
  <si>
    <t>8 مم شفاف</t>
  </si>
  <si>
    <t>10 مم شفاف</t>
  </si>
  <si>
    <t>6 مم  شفاف</t>
  </si>
  <si>
    <t>الصنف</t>
  </si>
  <si>
    <t>التكلفة</t>
  </si>
  <si>
    <t>10 مم شفاف جامبو</t>
  </si>
  <si>
    <t>12 مم شفاف</t>
  </si>
  <si>
    <t>6 مم كريستال</t>
  </si>
  <si>
    <t>بدون</t>
  </si>
  <si>
    <t>15 مم شفاف</t>
  </si>
  <si>
    <t xml:space="preserve">  10مم ملون رمادى / برونز / ازرق</t>
  </si>
  <si>
    <t>6 مم شفاف جامبو</t>
  </si>
  <si>
    <t>4 مم شفاف</t>
  </si>
  <si>
    <t>8 مم كريستال</t>
  </si>
  <si>
    <t>12 مم شفاف جامبو</t>
  </si>
  <si>
    <t>20 مم شفاف</t>
  </si>
  <si>
    <t xml:space="preserve"> تربلكس بتخريم 6 / 6 </t>
  </si>
  <si>
    <t>6مم برونز / ازرق</t>
  </si>
  <si>
    <t>5 مم شفاف</t>
  </si>
  <si>
    <t>10 مم كريستال</t>
  </si>
  <si>
    <t xml:space="preserve"> تربلكس بتخريم 6 عاكس برونز / 6 شفاف</t>
  </si>
  <si>
    <t>6مم رمادى</t>
  </si>
  <si>
    <t>15 مم كريستال</t>
  </si>
  <si>
    <t xml:space="preserve"> تربلكس بتخريم 6 عاكس رمادى / 6 شفاف</t>
  </si>
  <si>
    <t>6مم بومبيه</t>
  </si>
  <si>
    <t>10مم شفاف بومبيه</t>
  </si>
  <si>
    <t>10مم بومبيه</t>
  </si>
  <si>
    <t>20 مم كريستال</t>
  </si>
  <si>
    <t>تربلكس 6/6 رمادى او برونز بتخريم</t>
  </si>
  <si>
    <t xml:space="preserve">6مم مرايا ابيض </t>
  </si>
  <si>
    <t>12مم شفاف بومبيه</t>
  </si>
  <si>
    <t>12مم بومبيه</t>
  </si>
  <si>
    <t>6مم مرايا برونز</t>
  </si>
  <si>
    <t xml:space="preserve"> تربلكس بدون تخريم 5 / 5 </t>
  </si>
  <si>
    <t xml:space="preserve">   10مم بومبيه خام</t>
  </si>
  <si>
    <t xml:space="preserve"> تربلكس بدون تخريم 6 / 6 </t>
  </si>
  <si>
    <t>6مم مرايا أخضر</t>
  </si>
  <si>
    <t xml:space="preserve"> تربلكس بومبية  6 عاكس برونز / 6 شفاف</t>
  </si>
  <si>
    <t>6مم مرايا رمادى</t>
  </si>
  <si>
    <t xml:space="preserve"> تربلكس بتخريم 5 / 5 </t>
  </si>
  <si>
    <t xml:space="preserve"> تربلكس بدون تخريم 10 / 10 </t>
  </si>
  <si>
    <t xml:space="preserve"> تربلكس بومبية  6 عاكس رمادى / 6 شفاف</t>
  </si>
  <si>
    <t>6مم مرايا ازرق</t>
  </si>
  <si>
    <t xml:space="preserve"> تربلكس بتخريم 10 / 10 </t>
  </si>
  <si>
    <t xml:space="preserve"> تربلكس بومبية 6مم / 6مم</t>
  </si>
  <si>
    <t>6مم مرايا انتيك class A</t>
  </si>
  <si>
    <t xml:space="preserve"> تربلكس بدون تخريم 6 / 6 كريستال</t>
  </si>
  <si>
    <t>تربلكس بومبية 6/6 رمادى او برونز بتخريم</t>
  </si>
  <si>
    <t>6مم مرايا انتيك class B</t>
  </si>
  <si>
    <t xml:space="preserve"> تربلكس بتخريم 6 / 6 كريستال</t>
  </si>
  <si>
    <t xml:space="preserve"> تربلكس بدون تخريم 6 عاكس برونز / 6 شفاف</t>
  </si>
  <si>
    <t xml:space="preserve">زجاج الاسلحة </t>
  </si>
  <si>
    <t>6مم شفاف خام</t>
  </si>
  <si>
    <t xml:space="preserve"> تربلكس بومبية 5مم / 5مم</t>
  </si>
  <si>
    <t xml:space="preserve"> تربلكس بدون تخريم 10 / 10 كريستال</t>
  </si>
  <si>
    <t>10مم شفاف خام</t>
  </si>
  <si>
    <t xml:space="preserve"> تربلكس بتخريم 10 / 10 كريستال</t>
  </si>
  <si>
    <t>12مم شفاف خام</t>
  </si>
  <si>
    <t>تربلكس 6/6 رمادى او برونز بدون تخريم</t>
  </si>
  <si>
    <t xml:space="preserve"> تربلكس بدون تخريم 6 عاكس رمادى / 6 شفاف</t>
  </si>
  <si>
    <t>6مم رمادى خام</t>
  </si>
  <si>
    <t>6مم برونز / ازرق خام</t>
  </si>
  <si>
    <t>تربلكس 10/10 رمادى او برونز بدون تخريم</t>
  </si>
  <si>
    <t>10مم خام ملون ازرق / رمادى / برونز</t>
  </si>
  <si>
    <t>6مم عاكس برونز</t>
  </si>
  <si>
    <t>تربلكس 10/10 رمادى او برونز بتخريم</t>
  </si>
  <si>
    <t>6مم عاكس ازرق</t>
  </si>
  <si>
    <t>6مم عاكس رمادى</t>
  </si>
  <si>
    <t xml:space="preserve"> تربلكس أسلحة 10 / 10</t>
  </si>
  <si>
    <t>15مم بومبيه</t>
  </si>
  <si>
    <t xml:space="preserve"> تربلكس أسلحة 12 / 12</t>
  </si>
  <si>
    <t>20مم بومبيه</t>
  </si>
  <si>
    <t xml:space="preserve"> تربلكس أسلحة 10 / 10 جامبو</t>
  </si>
  <si>
    <t xml:space="preserve"> تربلكس أسلحة 12 / 12 جامبو</t>
  </si>
  <si>
    <t xml:space="preserve"> تربلكس بومبية 10مم / 10مم</t>
  </si>
  <si>
    <t xml:space="preserve"> تربلكس بدون تخريم 8 / 8 </t>
  </si>
  <si>
    <t xml:space="preserve"> تربلكس بتخريم 8 /8 </t>
  </si>
  <si>
    <t>6مم مرايا اخضر</t>
  </si>
  <si>
    <t>اضافات للزجاج بالمتر المربع</t>
  </si>
  <si>
    <t>ترميل سادة</t>
  </si>
  <si>
    <t>ترميل خطوط / مربعات</t>
  </si>
  <si>
    <t>ترميل لوجو</t>
  </si>
  <si>
    <t>ترميل ديجراديه</t>
  </si>
  <si>
    <t>حفر ليزر</t>
  </si>
  <si>
    <t>طباعة حامض</t>
  </si>
  <si>
    <t>طباعة ريزن رال</t>
  </si>
  <si>
    <t>طباعة ريزن ابيض * اسود</t>
  </si>
  <si>
    <t>طباعة حرارى اسود و ابيض و احمر و رمادى</t>
  </si>
  <si>
    <t>طباعة UV بدون خلفية</t>
  </si>
  <si>
    <t>طباعة UV بخلفية ماكنة</t>
  </si>
  <si>
    <t>طباعة UV بخلفية ريزن</t>
  </si>
  <si>
    <t>طباعة سيراميك بدون خلفية</t>
  </si>
  <si>
    <t>طباعة سيراميك بخلفية ماكنة</t>
  </si>
  <si>
    <t>طباعة سيراميك بخلفية ريزن</t>
  </si>
  <si>
    <t>اضافات للزجاج بالمتر الطولى</t>
  </si>
  <si>
    <t>شطف البا 10مم</t>
  </si>
  <si>
    <t>شطف البا 12مم / 15مم</t>
  </si>
  <si>
    <t>شطف البا 20مم</t>
  </si>
  <si>
    <t>شطف البا 6مم</t>
  </si>
  <si>
    <t>شطف البا 6/6</t>
  </si>
  <si>
    <t>شطف البا 10/10</t>
  </si>
  <si>
    <t>شطف 2مم / 3مم</t>
  </si>
  <si>
    <t>شطف 1 سم سمك 6مم</t>
  </si>
  <si>
    <t>شطف 2 سم سمك 6مم</t>
  </si>
  <si>
    <t>شطف 1 سم / 2سم سمك 10مم / 12مم</t>
  </si>
  <si>
    <t>شطف 3سم سمك 10مم / 12مم</t>
  </si>
  <si>
    <t>شطف 3سم سمك 6مم</t>
  </si>
  <si>
    <t>شطف زاوية 45 سمك 5مم / 5مم</t>
  </si>
  <si>
    <t>شطف زاوية 45 سمك 10مم</t>
  </si>
  <si>
    <t>شطف زاوية 45 سمك 12مم</t>
  </si>
  <si>
    <t>قطاع التثبيت للواجهات</t>
  </si>
  <si>
    <t>قطاع U عظم فضى + كافر</t>
  </si>
  <si>
    <t>قطاع U عظم فضى + 2 كافر</t>
  </si>
  <si>
    <t>قطاع U عظم اسود / ذهبى</t>
  </si>
  <si>
    <t>F قطاع 2.5 سم الومنيوم فضى</t>
  </si>
  <si>
    <t>F قطاع 3.5 سم الومنيوم فضى</t>
  </si>
  <si>
    <t>قطاع F ذهبى / اسود2.5</t>
  </si>
  <si>
    <t>قطاع F ذهبى / اسود2.6</t>
  </si>
  <si>
    <t>علبة U الومنيوم</t>
  </si>
  <si>
    <t>علبة U ذهبى / اسود</t>
  </si>
  <si>
    <t>اطقم ابواب الواجهات</t>
  </si>
  <si>
    <t>الطقم الفضى شامل مفصلة ماكنة</t>
  </si>
  <si>
    <t>الطقم الفضى</t>
  </si>
  <si>
    <t>مفصلة علوى/سفلى</t>
  </si>
  <si>
    <t>اسعار بيع محددة</t>
  </si>
  <si>
    <t>كالون</t>
  </si>
  <si>
    <t>حامل جناح</t>
  </si>
  <si>
    <t>طقم اكسسوار فضى</t>
  </si>
  <si>
    <t>نهاية باب</t>
  </si>
  <si>
    <t>طقم اكسسوار اسود / ذهبى</t>
  </si>
  <si>
    <t>طقم اكسسوار جلاسكس فضى</t>
  </si>
  <si>
    <t>الاجمالى للضلفة</t>
  </si>
  <si>
    <t>طقم اكسسوار جلاسكس أسود / ذهبى</t>
  </si>
  <si>
    <t>الطقم الفضى Glassix</t>
  </si>
  <si>
    <t>الطقم الذهبى / الاسود</t>
  </si>
  <si>
    <t>طقم اكسسوار كونسبت فضى</t>
  </si>
  <si>
    <t>طقم اكسسوار كونسبت أسود / ذهبى</t>
  </si>
  <si>
    <t>طقم اكسسوار شامل مفصلة مكنة فضى</t>
  </si>
  <si>
    <t>طقم جرار فرنساوى فضى</t>
  </si>
  <si>
    <t>طقم جرار فرنساوى اسود</t>
  </si>
  <si>
    <t>طقم جرار اسبانى فضى</t>
  </si>
  <si>
    <t>طقم جرار اسبانى اسود</t>
  </si>
  <si>
    <t>الماكينات</t>
  </si>
  <si>
    <t>ماكينة ماب ايطالى مقاس نمطى</t>
  </si>
  <si>
    <t>ماكينة ماب ايطالى مقاس كبير</t>
  </si>
  <si>
    <t>ماكينة دورما مقاس نمطى</t>
  </si>
  <si>
    <t>ماكينة دورما مقاس كبير</t>
  </si>
  <si>
    <t>ماكينة صينى</t>
  </si>
  <si>
    <t>بدون ماكينة</t>
  </si>
  <si>
    <t>المقابض</t>
  </si>
  <si>
    <t>مقبض 60 فضى</t>
  </si>
  <si>
    <t>مقبض 60 جلاسكس / كونسبت</t>
  </si>
  <si>
    <t>مقبض 60 اسود</t>
  </si>
  <si>
    <t>مقبض 80 فضى</t>
  </si>
  <si>
    <t>مقبض 80 أسود</t>
  </si>
  <si>
    <t>مقبض 120 فضى</t>
  </si>
  <si>
    <t>مقبض 120 اسود</t>
  </si>
  <si>
    <t>مقبض 150 فضى</t>
  </si>
  <si>
    <t>مقبض 150 اسود</t>
  </si>
  <si>
    <t>مقبض 180 فضى</t>
  </si>
  <si>
    <t>مقبض 180 اسود</t>
  </si>
  <si>
    <t>مقبض انتريور</t>
  </si>
  <si>
    <t>مقبض غاطس 5سم</t>
  </si>
  <si>
    <t>مقبض نوب اسود / ذهبى</t>
  </si>
  <si>
    <t>مقبض فواطة 40 * 20 فضى</t>
  </si>
  <si>
    <t>مقبض فواطة 40 * 20 اسود / ذهبى</t>
  </si>
  <si>
    <t>مقبض فواطة 40 * 20 فضى مربع استانلس</t>
  </si>
  <si>
    <t>مقبض مقفول 30 * 30 استانلس مط</t>
  </si>
  <si>
    <t>مقبض مقفول 30 * 30 اسود / ذهبى</t>
  </si>
  <si>
    <t>مقبض مقفول 20* 20 استانلس</t>
  </si>
  <si>
    <t>مقبض مقفول 20* 20 اسود / ذهبى</t>
  </si>
  <si>
    <t>مقبض مقفول 40*40</t>
  </si>
  <si>
    <t>مقبض مقفول 40*40 اسود / ذهبى</t>
  </si>
  <si>
    <t>قطاع التثبيت للشاور</t>
  </si>
  <si>
    <t xml:space="preserve"> U شاور الومنيوم فضى 2 سم</t>
  </si>
  <si>
    <t xml:space="preserve"> U شاور الومنيوم فضى 3 سم</t>
  </si>
  <si>
    <t xml:space="preserve"> U شاور الومنيوم فضى 4 سم</t>
  </si>
  <si>
    <t xml:space="preserve"> U شاور اسود /  ذهبى 2 سم</t>
  </si>
  <si>
    <t xml:space="preserve"> U شاور اسود / ذهبى 3 سم</t>
  </si>
  <si>
    <t xml:space="preserve"> U شاور اسود / ذهبى 4 سم</t>
  </si>
  <si>
    <t xml:space="preserve"> U شاور استانلس فضى</t>
  </si>
  <si>
    <t>اكسسوار الشاور " نظام الفتح والغلق</t>
  </si>
  <si>
    <t>مفصلات 180 ز*ز زنك</t>
  </si>
  <si>
    <t>مفصلات 90 ز*ح زنك</t>
  </si>
  <si>
    <t>مفصلات 90 ز*ز زنك</t>
  </si>
  <si>
    <t>مفصلات  135 ز*ز فضى</t>
  </si>
  <si>
    <t>مفصلات 180 ز*ز  اسود</t>
  </si>
  <si>
    <t>مفصلات 90 ز*ح اسود</t>
  </si>
  <si>
    <t>مفصلات 180 ز*ز  استانلس جلاسكس / كونسبت</t>
  </si>
  <si>
    <t>مفصلات 90 ز*ح استانلس جلاسكس / كونسبت</t>
  </si>
  <si>
    <t>طقم جرار فرنساوى فضى لامع</t>
  </si>
  <si>
    <t>طقم جرار فرنساوى فضى مط</t>
  </si>
  <si>
    <t>طقم جرار بيلجيكى فضى</t>
  </si>
  <si>
    <t>طقم جرار بيلجيكى اسود</t>
  </si>
  <si>
    <t>اكسسوار الشاور " مكملات "</t>
  </si>
  <si>
    <t>زاوية او لقم فضى</t>
  </si>
  <si>
    <t>زاوية او لقم اسود / ذهبى</t>
  </si>
  <si>
    <t xml:space="preserve">زاوية او لقم استانلس </t>
  </si>
  <si>
    <t>مسمار نص</t>
  </si>
  <si>
    <t>اكسسوار الشاور " شداد " 1</t>
  </si>
  <si>
    <t>بدون شداد</t>
  </si>
  <si>
    <t>للسقف</t>
  </si>
  <si>
    <t>شداد فضى</t>
  </si>
  <si>
    <t>شداد اسود / ذهبى</t>
  </si>
  <si>
    <t>اكسسوار الشاور " كوع "</t>
  </si>
  <si>
    <t>كوع فضى</t>
  </si>
  <si>
    <t>كوع اسود / ذهبى</t>
  </si>
  <si>
    <t>كوع استانلس جلاسكس او كونسبت</t>
  </si>
  <si>
    <t>السيلنج</t>
  </si>
  <si>
    <t>شفاف</t>
  </si>
  <si>
    <t>اسود</t>
  </si>
  <si>
    <t>مغناطيس</t>
  </si>
  <si>
    <t>اضافات كالون خاص</t>
  </si>
  <si>
    <t>كالون اشارة فضى كامل</t>
  </si>
  <si>
    <t>كالون اشارة فضى + وش</t>
  </si>
  <si>
    <t>كالون اشارة بخطاف فضى</t>
  </si>
  <si>
    <t>كالون اشارة اسود كامل</t>
  </si>
  <si>
    <t>كالون اشارة اسود + وش</t>
  </si>
  <si>
    <t>كالون اشارة بخطاف اسود</t>
  </si>
  <si>
    <t>كالون انتريور</t>
  </si>
  <si>
    <t>انواع الشاورات (1)</t>
  </si>
  <si>
    <t>قطاع التثبيت</t>
  </si>
  <si>
    <t>غلق / فتح</t>
  </si>
  <si>
    <t>كوع</t>
  </si>
  <si>
    <t>زوايا و مشابك</t>
  </si>
  <si>
    <t>بارتشن بزوايا</t>
  </si>
  <si>
    <t>بارتشن ب U</t>
  </si>
  <si>
    <t>باب شاور نمطى</t>
  </si>
  <si>
    <t>باب شاور كبير</t>
  </si>
  <si>
    <t>عدل ثابتين + باب</t>
  </si>
  <si>
    <t>عدل ثابت + باب</t>
  </si>
  <si>
    <t xml:space="preserve">   ثابت و باب L Shape</t>
  </si>
  <si>
    <t xml:space="preserve">   ثابتين وباب L Shape</t>
  </si>
  <si>
    <t>زوايا ز*ز  +  L Shape</t>
  </si>
  <si>
    <t>زاوية 135 | 3 قطع |</t>
  </si>
  <si>
    <t>زاوية 135 | 4 قطع |</t>
  </si>
  <si>
    <t>زاوية 135 | 5 قطع |</t>
  </si>
  <si>
    <t>جرار عدل</t>
  </si>
  <si>
    <t>جرار L</t>
  </si>
  <si>
    <t>عدد الابواب</t>
  </si>
  <si>
    <t>عدد المفصلات</t>
  </si>
  <si>
    <t>Factors</t>
  </si>
  <si>
    <t>Names</t>
  </si>
  <si>
    <t xml:space="preserve">م. محمد </t>
  </si>
  <si>
    <t>م. أمجد</t>
  </si>
  <si>
    <t>م.تقى البراوى</t>
  </si>
  <si>
    <t>م.مى سيد</t>
  </si>
  <si>
    <t>م.نانسى سعد</t>
  </si>
  <si>
    <t>أ.عبد السلام عواد</t>
  </si>
  <si>
    <t>بشداد</t>
  </si>
  <si>
    <t>اكسسوار الشاور " شداد " 2</t>
  </si>
  <si>
    <t>اكسسوار الشاور " شداد " 3</t>
  </si>
  <si>
    <t>اكسسوار الشاور " شداد "4</t>
  </si>
  <si>
    <t>اكسسوار الشاور " شداد " 5</t>
  </si>
  <si>
    <t>اكسسوار الشاور " شداد "6</t>
  </si>
  <si>
    <t>اكسسوار الشاور " شداد "7</t>
  </si>
  <si>
    <t>اكسسوار الشاور " شداد " 8</t>
  </si>
  <si>
    <t>اكسسوار الشاور " شداد "9</t>
  </si>
  <si>
    <t>اكسسوار الشاور " شداد "10</t>
  </si>
  <si>
    <t>انواع الشاورات (2)</t>
  </si>
  <si>
    <t>انواع الشاورات (3)</t>
  </si>
  <si>
    <t>انواع الشاورات (4)</t>
  </si>
  <si>
    <t>انواع الشاورات (5)</t>
  </si>
  <si>
    <t>انواع الشاورات (6)</t>
  </si>
  <si>
    <t>انواع الشاورات (7)</t>
  </si>
  <si>
    <t>انواع الشاورات (8)</t>
  </si>
  <si>
    <t>انواع الشاورات (9)</t>
  </si>
  <si>
    <t>انواع الشاورات (10)</t>
  </si>
  <si>
    <t>اضافة زوايا لتثبيت الشراعات</t>
  </si>
  <si>
    <t>لا يوجد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</si>
</sst>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3" tint="0.3999755851924192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4"/>
      <color rgb="FFC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B3AF7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04">
    <xf numFmtId="0" fontId="0" fillId="0" borderId="0" xfId="0"/>
    <xf numFmtId="0" fontId="2" fillId="2" borderId="1" xfId="0" applyFont="1" applyFill="1" applyBorder="1" applyAlignment="1">
      <alignment horizontal="center" vertical="center" readingOrder="2"/>
    </xf>
    <xf numFmtId="0" fontId="2" fillId="2" borderId="2" xfId="0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3" borderId="4" xfId="0" applyFont="1" applyFill="1" applyBorder="1" applyAlignment="1">
      <alignment vertical="center" readingOrder="2"/>
    </xf>
    <xf numFmtId="0" fontId="2" fillId="3" borderId="0" xfId="0" applyFont="1" applyFill="1" applyAlignment="1">
      <alignment vertical="center" readingOrder="2"/>
    </xf>
    <xf numFmtId="0" fontId="2" fillId="4" borderId="4" xfId="0" applyFont="1" applyFill="1" applyBorder="1" applyAlignment="1">
      <alignment vertical="center" readingOrder="2"/>
    </xf>
    <xf numFmtId="0" fontId="0" fillId="4" borderId="0" xfId="0" applyFill="1"/>
    <xf numFmtId="0" fontId="2" fillId="5" borderId="4" xfId="0" applyFont="1" applyFill="1" applyBorder="1" applyAlignment="1">
      <alignment vertical="center" readingOrder="2"/>
    </xf>
    <xf numFmtId="0" fontId="0" fillId="5" borderId="0" xfId="0" applyFill="1"/>
    <xf numFmtId="0" fontId="2" fillId="6" borderId="4" xfId="0" applyFont="1" applyFill="1" applyBorder="1" applyAlignment="1">
      <alignment vertical="center" readingOrder="2"/>
    </xf>
    <xf numFmtId="0" fontId="0" fillId="6" borderId="0" xfId="0" applyFill="1"/>
    <xf numFmtId="0" fontId="2" fillId="7" borderId="4" xfId="0" applyFont="1" applyFill="1" applyBorder="1" applyAlignment="1">
      <alignment vertical="center" readingOrder="2"/>
    </xf>
    <xf numFmtId="0" fontId="0" fillId="7" borderId="0" xfId="0" applyFill="1"/>
    <xf numFmtId="0" fontId="0" fillId="7" borderId="5" xfId="0" applyFill="1" applyBorder="1"/>
    <xf numFmtId="0" fontId="2" fillId="2" borderId="6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49" fontId="2" fillId="6" borderId="4" xfId="0" applyNumberFormat="1" applyFont="1" applyFill="1" applyBorder="1" applyAlignment="1">
      <alignment horizontal="right" vertical="center"/>
    </xf>
    <xf numFmtId="0" fontId="2" fillId="2" borderId="7" xfId="0" applyFont="1" applyFill="1" applyBorder="1" applyAlignment="1">
      <alignment vertical="center" readingOrder="2"/>
    </xf>
    <xf numFmtId="49" fontId="2" fillId="7" borderId="4" xfId="0" applyNumberFormat="1" applyFont="1" applyFill="1" applyBorder="1" applyAlignment="1">
      <alignment horizontal="right" vertical="center"/>
    </xf>
    <xf numFmtId="49" fontId="2" fillId="4" borderId="4" xfId="0" applyNumberFormat="1" applyFont="1" applyFill="1" applyBorder="1" applyAlignment="1">
      <alignment horizontal="right" vertical="center"/>
    </xf>
    <xf numFmtId="0" fontId="2" fillId="2" borderId="9" xfId="0" applyFont="1" applyFill="1" applyBorder="1" applyAlignment="1">
      <alignment vertical="center" readingOrder="2"/>
    </xf>
    <xf numFmtId="0" fontId="2" fillId="2" borderId="10" xfId="0" applyFont="1" applyFill="1" applyBorder="1" applyAlignment="1">
      <alignment vertical="center"/>
    </xf>
    <xf numFmtId="49" fontId="2" fillId="3" borderId="4" xfId="0" applyNumberFormat="1" applyFont="1" applyFill="1" applyBorder="1" applyAlignment="1">
      <alignment vertical="center"/>
    </xf>
    <xf numFmtId="49" fontId="2" fillId="3" borderId="0" xfId="0" applyNumberFormat="1" applyFont="1" applyFill="1" applyAlignment="1">
      <alignment vertical="center"/>
    </xf>
    <xf numFmtId="49" fontId="2" fillId="5" borderId="4" xfId="0" applyNumberFormat="1" applyFont="1" applyFill="1" applyBorder="1" applyAlignment="1">
      <alignment horizontal="right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right" vertical="center"/>
    </xf>
    <xf numFmtId="0" fontId="3" fillId="6" borderId="13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49" fontId="2" fillId="3" borderId="13" xfId="0" applyNumberFormat="1" applyFont="1" applyFill="1" applyBorder="1" applyAlignment="1">
      <alignment vertical="center"/>
    </xf>
    <xf numFmtId="49" fontId="2" fillId="3" borderId="14" xfId="0" applyNumberFormat="1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7" borderId="13" xfId="0" applyFont="1" applyFill="1" applyBorder="1" applyAlignment="1">
      <alignment vertical="center" readingOrder="2"/>
    </xf>
    <xf numFmtId="0" fontId="0" fillId="7" borderId="14" xfId="0" applyFill="1" applyBorder="1"/>
    <xf numFmtId="0" fontId="0" fillId="7" borderId="15" xfId="0" applyFill="1" applyBorder="1"/>
    <xf numFmtId="49" fontId="2" fillId="2" borderId="9" xfId="0" applyNumberFormat="1" applyFont="1" applyFill="1" applyBorder="1" applyAlignment="1">
      <alignment horizontal="right" vertical="center"/>
    </xf>
    <xf numFmtId="0" fontId="0" fillId="6" borderId="5" xfId="0" applyFill="1" applyBorder="1"/>
    <xf numFmtId="49" fontId="2" fillId="4" borderId="13" xfId="0" applyNumberFormat="1" applyFont="1" applyFill="1" applyBorder="1" applyAlignment="1">
      <alignment horizontal="right" vertical="center"/>
    </xf>
    <xf numFmtId="0" fontId="0" fillId="4" borderId="14" xfId="0" applyFill="1" applyBorder="1"/>
    <xf numFmtId="49" fontId="2" fillId="6" borderId="13" xfId="0" applyNumberFormat="1" applyFont="1" applyFill="1" applyBorder="1" applyAlignment="1">
      <alignment horizontal="right" vertical="center"/>
    </xf>
    <xf numFmtId="0" fontId="0" fillId="6" borderId="14" xfId="0" applyFill="1" applyBorder="1"/>
    <xf numFmtId="0" fontId="0" fillId="6" borderId="15" xfId="0" applyFill="1" applyBorder="1"/>
    <xf numFmtId="49" fontId="2" fillId="5" borderId="13" xfId="0" applyNumberFormat="1" applyFont="1" applyFill="1" applyBorder="1" applyAlignment="1">
      <alignment horizontal="right" vertical="center"/>
    </xf>
    <xf numFmtId="0" fontId="0" fillId="5" borderId="14" xfId="0" applyFill="1" applyBorder="1"/>
    <xf numFmtId="0" fontId="0" fillId="5" borderId="15" xfId="0" applyFill="1" applyBorder="1"/>
    <xf numFmtId="49" fontId="2" fillId="0" borderId="0" xfId="0" applyNumberFormat="1" applyFont="1" applyAlignment="1">
      <alignment horizontal="right" vertical="center"/>
    </xf>
    <xf numFmtId="49" fontId="2" fillId="7" borderId="9" xfId="0" applyNumberFormat="1" applyFont="1" applyFill="1" applyBorder="1" applyAlignment="1">
      <alignment horizontal="right" vertical="center"/>
    </xf>
    <xf numFmtId="0" fontId="2" fillId="7" borderId="10" xfId="0" applyFont="1" applyFill="1" applyBorder="1" applyAlignment="1">
      <alignment vertical="center"/>
    </xf>
    <xf numFmtId="49" fontId="2" fillId="8" borderId="9" xfId="0" applyNumberFormat="1" applyFont="1" applyFill="1" applyBorder="1" applyAlignment="1">
      <alignment horizontal="right" vertical="center"/>
    </xf>
    <xf numFmtId="0" fontId="2" fillId="8" borderId="10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 readingOrder="2"/>
    </xf>
    <xf numFmtId="0" fontId="2" fillId="2" borderId="17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 readingOrder="2"/>
    </xf>
    <xf numFmtId="0" fontId="2" fillId="2" borderId="19" xfId="0" applyFont="1" applyFill="1" applyBorder="1"/>
    <xf numFmtId="0" fontId="2" fillId="9" borderId="11" xfId="0" applyFont="1" applyFill="1" applyBorder="1" applyAlignment="1">
      <alignment horizontal="center" vertical="center" readingOrder="2"/>
    </xf>
    <xf numFmtId="0" fontId="2" fillId="9" borderId="20" xfId="0" applyFont="1" applyFill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2" fillId="9" borderId="13" xfId="0" applyFont="1" applyFill="1" applyBorder="1" applyAlignment="1">
      <alignment horizontal="center" vertical="center" readingOrder="2"/>
    </xf>
    <xf numFmtId="0" fontId="2" fillId="9" borderId="15" xfId="0" applyFont="1" applyFill="1" applyBorder="1" applyAlignment="1">
      <alignment horizontal="center" vertical="center" readingOrder="2"/>
    </xf>
    <xf numFmtId="0" fontId="2" fillId="9" borderId="4" xfId="0" applyFont="1" applyFill="1" applyBorder="1" applyAlignment="1">
      <alignment horizontal="right" vertical="center" readingOrder="2"/>
    </xf>
    <xf numFmtId="0" fontId="2" fillId="9" borderId="5" xfId="0" applyFont="1" applyFill="1" applyBorder="1" applyAlignment="1">
      <alignment horizontal="right" vertical="center" readingOrder="2"/>
    </xf>
    <xf numFmtId="0" fontId="2" fillId="0" borderId="0" xfId="0" applyFont="1" applyAlignment="1">
      <alignment horizontal="right" vertical="center" readingOrder="2"/>
    </xf>
    <xf numFmtId="0" fontId="2" fillId="9" borderId="6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 readingOrder="2"/>
    </xf>
    <xf numFmtId="0" fontId="2" fillId="9" borderId="10" xfId="0" applyFont="1" applyFill="1" applyBorder="1" applyAlignment="1">
      <alignment vertical="center"/>
    </xf>
    <xf numFmtId="49" fontId="2" fillId="9" borderId="9" xfId="0" applyNumberFormat="1" applyFont="1" applyFill="1" applyBorder="1" applyAlignment="1">
      <alignment horizontal="right" vertical="center"/>
    </xf>
    <xf numFmtId="0" fontId="2" fillId="9" borderId="1" xfId="0" applyFont="1" applyFill="1" applyBorder="1" applyAlignment="1">
      <alignment horizontal="right" vertical="center" readingOrder="2"/>
    </xf>
    <xf numFmtId="0" fontId="2" fillId="9" borderId="2" xfId="0" applyFont="1" applyFill="1" applyBorder="1" applyAlignment="1">
      <alignment horizontal="right" vertical="center" readingOrder="2"/>
    </xf>
    <xf numFmtId="0" fontId="2" fillId="0" borderId="0" xfId="0" applyFont="1"/>
    <xf numFmtId="0" fontId="2" fillId="4" borderId="11" xfId="0" applyFont="1" applyFill="1" applyBorder="1" applyAlignment="1">
      <alignment horizontal="center" vertical="center"/>
    </xf>
    <xf numFmtId="0" fontId="2" fillId="4" borderId="2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4" borderId="6" xfId="0" applyFont="1" applyFill="1" applyBorder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4" borderId="8" xfId="0" applyFont="1" applyFill="1" applyBorder="1" applyAlignment="1">
      <alignment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4" borderId="9" xfId="0" applyFont="1" applyFill="1" applyBorder="1" applyAlignment="1">
      <alignment horizontal="right" vertical="center" readingOrder="2"/>
    </xf>
    <xf numFmtId="0" fontId="2" fillId="4" borderId="16" xfId="0" applyFont="1" applyFill="1" applyBorder="1" applyAlignment="1">
      <alignment vertical="center"/>
    </xf>
    <xf numFmtId="0" fontId="2" fillId="4" borderId="17" xfId="0" applyFont="1" applyFill="1" applyBorder="1" applyAlignment="1">
      <alignment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right" vertical="center"/>
    </xf>
    <xf numFmtId="0" fontId="2" fillId="4" borderId="5" xfId="0" applyFont="1" applyFill="1" applyBorder="1" applyAlignment="1">
      <alignment horizontal="right" vertical="center"/>
    </xf>
    <xf numFmtId="0" fontId="0" fillId="0" borderId="7" xfId="0" applyBorder="1"/>
    <xf numFmtId="0" fontId="0" fillId="0" borderId="23" xfId="0" applyBorder="1"/>
    <xf numFmtId="0" fontId="0" fillId="0" borderId="24" xfId="0" applyBorder="1"/>
    <xf numFmtId="0" fontId="2" fillId="4" borderId="21" xfId="0" applyFont="1" applyFill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2" fillId="4" borderId="23" xfId="0" applyFont="1" applyFill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4" xfId="0" applyFont="1" applyFill="1" applyBorder="1" applyAlignment="1">
      <alignment vertical="center"/>
    </xf>
    <xf numFmtId="0" fontId="2" fillId="4" borderId="26" xfId="0" applyFont="1" applyFill="1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4" borderId="27" xfId="0" applyFill="1" applyBorder="1"/>
    <xf numFmtId="0" fontId="0" fillId="4" borderId="28" xfId="0" applyFill="1" applyBorder="1"/>
    <xf numFmtId="0" fontId="0" fillId="4" borderId="8" xfId="0" applyFill="1" applyBorder="1"/>
    <xf numFmtId="0" fontId="2" fillId="4" borderId="26" xfId="0" applyFont="1" applyFill="1" applyBorder="1" applyAlignment="1">
      <alignment vertical="center"/>
    </xf>
    <xf numFmtId="0" fontId="0" fillId="0" borderId="28" xfId="0" applyBorder="1"/>
    <xf numFmtId="0" fontId="0" fillId="0" borderId="8" xfId="0" applyBorder="1"/>
    <xf numFmtId="0" fontId="0" fillId="0" borderId="26" xfId="0" applyBorder="1"/>
    <xf numFmtId="0" fontId="0" fillId="0" borderId="29" xfId="0" applyBorder="1"/>
    <xf numFmtId="0" fontId="0" fillId="0" borderId="17" xfId="0" applyBorder="1"/>
    <xf numFmtId="0" fontId="0" fillId="4" borderId="30" xfId="0" applyFill="1" applyBorder="1"/>
    <xf numFmtId="0" fontId="0" fillId="4" borderId="31" xfId="0" applyFill="1" applyBorder="1"/>
    <xf numFmtId="0" fontId="2" fillId="4" borderId="18" xfId="0" applyFont="1" applyFill="1" applyBorder="1" applyAlignment="1">
      <alignment vertical="center"/>
    </xf>
    <xf numFmtId="0" fontId="2" fillId="4" borderId="32" xfId="0" applyFont="1" applyFill="1" applyBorder="1" applyAlignment="1">
      <alignment vertical="center"/>
    </xf>
    <xf numFmtId="0" fontId="2" fillId="4" borderId="19" xfId="0" applyFont="1" applyFill="1" applyBorder="1" applyAlignment="1">
      <alignment vertical="center"/>
    </xf>
    <xf numFmtId="0" fontId="2" fillId="0" borderId="33" xfId="0" applyFont="1" applyBorder="1" applyAlignment="1">
      <alignment vertical="center"/>
    </xf>
    <xf numFmtId="0" fontId="0" fillId="0" borderId="0" xfId="0" applyAlignment="1">
      <alignment horizontal="center"/>
    </xf>
    <xf numFmtId="0" fontId="2" fillId="4" borderId="11" xfId="0" applyFont="1" applyFill="1" applyBorder="1" applyAlignment="1">
      <alignment horizontal="right" vertical="center"/>
    </xf>
    <xf numFmtId="0" fontId="2" fillId="4" borderId="20" xfId="0" applyFont="1" applyFill="1" applyBorder="1" applyAlignment="1">
      <alignment horizontal="right" vertical="center"/>
    </xf>
    <xf numFmtId="0" fontId="2" fillId="4" borderId="28" xfId="0" applyFont="1" applyFill="1" applyBorder="1" applyAlignment="1">
      <alignment vertical="center"/>
    </xf>
    <xf numFmtId="0" fontId="2" fillId="4" borderId="8" xfId="0" applyFont="1" applyFill="1" applyBorder="1" applyAlignment="1">
      <alignment horizontal="right" vertical="center"/>
    </xf>
    <xf numFmtId="0" fontId="2" fillId="4" borderId="29" xfId="0" applyFont="1" applyFill="1" applyBorder="1" applyAlignment="1">
      <alignment vertical="center"/>
    </xf>
    <xf numFmtId="0" fontId="2" fillId="4" borderId="17" xfId="0" applyFont="1" applyFill="1" applyBorder="1" applyAlignment="1">
      <alignment horizontal="right" vertical="center"/>
    </xf>
    <xf numFmtId="0" fontId="2" fillId="4" borderId="19" xfId="0" applyFont="1" applyFill="1" applyBorder="1" applyAlignment="1">
      <alignment horizontal="right" vertical="center"/>
    </xf>
    <xf numFmtId="1" fontId="0" fillId="0" borderId="0" xfId="0" applyNumberFormat="1"/>
    <xf numFmtId="0" fontId="2" fillId="4" borderId="6" xfId="0" applyFont="1" applyFill="1" applyBorder="1" applyAlignment="1">
      <alignment horizontal="right" vertical="center"/>
    </xf>
    <xf numFmtId="0" fontId="2" fillId="4" borderId="31" xfId="0" applyFont="1" applyFill="1" applyBorder="1" applyAlignment="1">
      <alignment vertical="center"/>
    </xf>
    <xf numFmtId="0" fontId="2" fillId="4" borderId="34" xfId="0" applyFont="1" applyFill="1" applyBorder="1" applyAlignment="1">
      <alignment vertical="center"/>
    </xf>
    <xf numFmtId="0" fontId="2" fillId="4" borderId="35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2" fillId="4" borderId="36" xfId="0" applyFont="1" applyFill="1" applyBorder="1" applyAlignment="1">
      <alignment vertical="center"/>
    </xf>
    <xf numFmtId="0" fontId="2" fillId="4" borderId="37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vertical="center"/>
    </xf>
    <xf numFmtId="0" fontId="2" fillId="10" borderId="8" xfId="0" applyFont="1" applyFill="1" applyBorder="1" applyAlignment="1">
      <alignment vertical="center"/>
    </xf>
    <xf numFmtId="0" fontId="2" fillId="10" borderId="9" xfId="0" applyFont="1" applyFill="1" applyBorder="1" applyAlignment="1">
      <alignment vertical="center"/>
    </xf>
    <xf numFmtId="0" fontId="2" fillId="10" borderId="10" xfId="0" applyFont="1" applyFill="1" applyBorder="1" applyAlignment="1">
      <alignment vertical="center"/>
    </xf>
    <xf numFmtId="0" fontId="2" fillId="10" borderId="18" xfId="0" applyFont="1" applyFill="1" applyBorder="1" applyAlignment="1">
      <alignment vertical="center"/>
    </xf>
    <xf numFmtId="0" fontId="2" fillId="10" borderId="19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right" vertical="center"/>
    </xf>
    <xf numFmtId="0" fontId="2" fillId="10" borderId="2" xfId="0" applyFont="1" applyFill="1" applyBorder="1" applyAlignment="1">
      <alignment horizontal="right" vertical="center"/>
    </xf>
    <xf numFmtId="0" fontId="2" fillId="10" borderId="6" xfId="0" applyFont="1" applyFill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49" fontId="2" fillId="10" borderId="7" xfId="0" applyNumberFormat="1" applyFont="1" applyFill="1" applyBorder="1" applyAlignment="1">
      <alignment horizontal="right" vertical="center" readingOrder="2"/>
    </xf>
    <xf numFmtId="49" fontId="2" fillId="10" borderId="9" xfId="0" applyNumberFormat="1" applyFont="1" applyFill="1" applyBorder="1" applyAlignment="1">
      <alignment horizontal="right" vertical="center" readingOrder="2"/>
    </xf>
    <xf numFmtId="49" fontId="2" fillId="10" borderId="18" xfId="0" applyNumberFormat="1" applyFont="1" applyFill="1" applyBorder="1" applyAlignment="1">
      <alignment horizontal="right" vertical="center" readingOrder="2"/>
    </xf>
    <xf numFmtId="0" fontId="2" fillId="10" borderId="23" xfId="0" applyFont="1" applyFill="1" applyBorder="1" applyAlignment="1">
      <alignment vertical="center"/>
    </xf>
    <xf numFmtId="0" fontId="2" fillId="10" borderId="24" xfId="0" applyFont="1" applyFill="1" applyBorder="1" applyAlignment="1">
      <alignment vertical="center"/>
    </xf>
    <xf numFmtId="0" fontId="2" fillId="10" borderId="38" xfId="0" applyFont="1" applyFill="1" applyBorder="1" applyAlignment="1">
      <alignment horizontal="right" vertical="center"/>
    </xf>
    <xf numFmtId="0" fontId="2" fillId="10" borderId="39" xfId="0" applyFont="1" applyFill="1" applyBorder="1" applyAlignment="1">
      <alignment horizontal="right" vertical="center"/>
    </xf>
    <xf numFmtId="0" fontId="2" fillId="10" borderId="13" xfId="0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2" fillId="10" borderId="27" xfId="0" applyFont="1" applyFill="1" applyBorder="1" applyAlignment="1">
      <alignment horizontal="right" vertical="center"/>
    </xf>
    <xf numFmtId="0" fontId="2" fillId="10" borderId="31" xfId="0" applyFont="1" applyFill="1" applyBorder="1" applyAlignment="1">
      <alignment horizontal="right" vertical="center"/>
    </xf>
    <xf numFmtId="0" fontId="2" fillId="10" borderId="40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2" fillId="10" borderId="27" xfId="0" applyFont="1" applyFill="1" applyBorder="1" applyAlignment="1">
      <alignment vertical="center"/>
    </xf>
    <xf numFmtId="0" fontId="2" fillId="10" borderId="31" xfId="0" applyFont="1" applyFill="1" applyBorder="1" applyAlignment="1">
      <alignment vertical="center"/>
    </xf>
    <xf numFmtId="0" fontId="2" fillId="10" borderId="7" xfId="0" applyFont="1" applyFill="1" applyBorder="1" applyAlignment="1">
      <alignment horizontal="right" vertical="center"/>
    </xf>
    <xf numFmtId="0" fontId="2" fillId="10" borderId="8" xfId="0" applyFont="1" applyFill="1" applyBorder="1" applyAlignment="1">
      <alignment horizontal="right" vertical="center"/>
    </xf>
    <xf numFmtId="0" fontId="2" fillId="10" borderId="11" xfId="0" applyFont="1" applyFill="1" applyBorder="1" applyAlignment="1">
      <alignment horizontal="center" vertical="center"/>
    </xf>
    <xf numFmtId="0" fontId="2" fillId="10" borderId="2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right" vertical="center"/>
    </xf>
    <xf numFmtId="0" fontId="2" fillId="10" borderId="20" xfId="0" applyFont="1" applyFill="1" applyBorder="1" applyAlignment="1">
      <alignment horizontal="right" vertical="center"/>
    </xf>
    <xf numFmtId="0" fontId="4" fillId="10" borderId="26" xfId="0" applyFont="1" applyFill="1" applyBorder="1" applyAlignment="1">
      <alignment horizontal="right" vertical="center"/>
    </xf>
    <xf numFmtId="0" fontId="2" fillId="10" borderId="26" xfId="0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10" borderId="26" xfId="0" applyFont="1" applyFill="1" applyBorder="1" applyAlignment="1">
      <alignment horizontal="right" vertical="center" readingOrder="1"/>
    </xf>
    <xf numFmtId="0" fontId="2" fillId="0" borderId="26" xfId="0" applyFont="1" applyBorder="1" applyAlignment="1">
      <alignment horizontal="right" vertical="center"/>
    </xf>
    <xf numFmtId="0" fontId="6" fillId="0" borderId="26" xfId="0" applyFont="1" applyBorder="1"/>
    <xf numFmtId="0" fontId="6" fillId="0" borderId="0" xfId="0" applyFont="1"/>
    <xf numFmtId="0" fontId="0" fillId="0" borderId="26" xfId="0" applyBorder="1" applyAlignment="1">
      <alignment horizontal="left"/>
    </xf>
    <xf numFmtId="0" fontId="2" fillId="0" borderId="26" xfId="0" applyFont="1" applyBorder="1" applyAlignment="1">
      <alignment horizontal="left"/>
    </xf>
    <xf numFmtId="0" fontId="0" fillId="0" borderId="0" xfId="0" applyAlignment="1">
      <alignment horizontal="left"/>
    </xf>
    <xf numFmtId="9" fontId="0" fillId="0" borderId="0" xfId="0" applyNumberFormat="1" applyAlignment="1">
      <alignment horizontal="left"/>
    </xf>
    <xf numFmtId="9" fontId="0" fillId="0" borderId="29" xfId="0" applyNumberFormat="1" applyBorder="1" applyAlignment="1">
      <alignment horizontal="left"/>
    </xf>
    <xf numFmtId="0" fontId="2" fillId="10" borderId="0" xfId="0" applyFont="1" applyFill="1" applyAlignment="1">
      <alignment vertical="center"/>
    </xf>
    <xf numFmtId="0" fontId="2" fillId="10" borderId="26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&#1575;&#1576;&#1608;&#1605;&#1575;&#1586;&#1606;\Pricing\SHOWER%20.xlsx" TargetMode="External"/><Relationship Id="rId1" Type="http://schemas.openxmlformats.org/officeDocument/2006/relationships/externalLinkPath" Target="Pricing/SHOWER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ster Database Pricing"/>
      <sheetName val="Instructions"/>
      <sheetName val="Showers table"/>
      <sheetName val="(1)"/>
      <sheetName val="(2)"/>
      <sheetName val="(3)"/>
      <sheetName val="(4)"/>
      <sheetName val="(5)"/>
      <sheetName val="(6)"/>
      <sheetName val="(7)"/>
      <sheetName val="(8)"/>
      <sheetName val="(9)"/>
      <sheetName val="(10)"/>
    </sheetNames>
    <sheetDataSet>
      <sheetData sheetId="0"/>
      <sheetData sheetId="1"/>
      <sheetData sheetId="2">
        <row r="8">
          <cell r="B8">
            <v>2</v>
          </cell>
          <cell r="C8">
            <v>0.6</v>
          </cell>
          <cell r="D8">
            <v>0</v>
          </cell>
          <cell r="E8">
            <v>1</v>
          </cell>
        </row>
      </sheetData>
      <sheetData sheetId="3">
        <row r="5">
          <cell r="A5">
            <v>2</v>
          </cell>
          <cell r="C5">
            <v>0.6</v>
          </cell>
          <cell r="D5">
            <v>0</v>
          </cell>
          <cell r="E5">
            <v>1</v>
          </cell>
        </row>
        <row r="11">
          <cell r="H11">
            <v>55</v>
          </cell>
        </row>
        <row r="16">
          <cell r="H16">
            <v>80</v>
          </cell>
        </row>
      </sheetData>
      <sheetData sheetId="4">
        <row r="5">
          <cell r="A5">
            <v>0</v>
          </cell>
          <cell r="C5">
            <v>0</v>
          </cell>
          <cell r="D5">
            <v>0.7</v>
          </cell>
          <cell r="E5">
            <v>1</v>
          </cell>
        </row>
        <row r="11">
          <cell r="H11">
            <v>135</v>
          </cell>
        </row>
        <row r="16">
          <cell r="H16">
            <v>120</v>
          </cell>
        </row>
      </sheetData>
      <sheetData sheetId="5">
        <row r="5">
          <cell r="A5">
            <v>0</v>
          </cell>
          <cell r="C5">
            <v>0</v>
          </cell>
          <cell r="D5">
            <v>0.7</v>
          </cell>
          <cell r="E5">
            <v>1</v>
          </cell>
        </row>
        <row r="11">
          <cell r="H11">
            <v>85</v>
          </cell>
        </row>
        <row r="16">
          <cell r="H16">
            <v>90</v>
          </cell>
        </row>
      </sheetData>
      <sheetData sheetId="6">
        <row r="5">
          <cell r="A5">
            <v>200</v>
          </cell>
          <cell r="C5">
            <v>100</v>
          </cell>
          <cell r="D5">
            <v>0.7</v>
          </cell>
          <cell r="E5">
            <v>1</v>
          </cell>
        </row>
        <row r="11">
          <cell r="H11">
            <v>0</v>
          </cell>
        </row>
        <row r="16">
          <cell r="H16">
            <v>0</v>
          </cell>
        </row>
      </sheetData>
      <sheetData sheetId="7">
        <row r="5">
          <cell r="A5">
            <v>2</v>
          </cell>
          <cell r="C5">
            <v>1</v>
          </cell>
          <cell r="D5">
            <v>0.7</v>
          </cell>
          <cell r="E5">
            <v>1</v>
          </cell>
        </row>
        <row r="11">
          <cell r="H11">
            <v>0</v>
          </cell>
        </row>
        <row r="16">
          <cell r="H16">
            <v>0</v>
          </cell>
        </row>
      </sheetData>
      <sheetData sheetId="8">
        <row r="5">
          <cell r="A5">
            <v>0</v>
          </cell>
          <cell r="C5">
            <v>0</v>
          </cell>
          <cell r="D5">
            <v>0.7</v>
          </cell>
          <cell r="E5">
            <v>1</v>
          </cell>
        </row>
        <row r="11">
          <cell r="H11">
            <v>0</v>
          </cell>
        </row>
        <row r="16">
          <cell r="H16">
            <v>0</v>
          </cell>
        </row>
      </sheetData>
      <sheetData sheetId="9">
        <row r="5">
          <cell r="A5">
            <v>0</v>
          </cell>
          <cell r="C5">
            <v>0</v>
          </cell>
          <cell r="D5">
            <v>0.7</v>
          </cell>
          <cell r="E5">
            <v>1</v>
          </cell>
        </row>
        <row r="11">
          <cell r="H11">
            <v>0</v>
          </cell>
        </row>
        <row r="16">
          <cell r="H16">
            <v>0</v>
          </cell>
        </row>
      </sheetData>
      <sheetData sheetId="10">
        <row r="5">
          <cell r="A5">
            <v>0</v>
          </cell>
          <cell r="C5">
            <v>0</v>
          </cell>
          <cell r="D5">
            <v>0.7</v>
          </cell>
          <cell r="E5">
            <v>1</v>
          </cell>
        </row>
        <row r="11">
          <cell r="H11">
            <v>0</v>
          </cell>
        </row>
        <row r="16">
          <cell r="H16">
            <v>0</v>
          </cell>
        </row>
      </sheetData>
      <sheetData sheetId="11">
        <row r="5">
          <cell r="A5">
            <v>0</v>
          </cell>
          <cell r="C5">
            <v>0</v>
          </cell>
          <cell r="D5">
            <v>0.7</v>
          </cell>
          <cell r="E5">
            <v>1</v>
          </cell>
        </row>
        <row r="11">
          <cell r="H11">
            <v>0</v>
          </cell>
        </row>
        <row r="16">
          <cell r="H16">
            <v>0</v>
          </cell>
        </row>
      </sheetData>
      <sheetData sheetId="12">
        <row r="5">
          <cell r="A5">
            <v>0</v>
          </cell>
          <cell r="C5">
            <v>0</v>
          </cell>
          <cell r="D5">
            <v>0.7</v>
          </cell>
          <cell r="E5">
            <v>1</v>
          </cell>
        </row>
        <row r="11">
          <cell r="H11">
            <v>0</v>
          </cell>
        </row>
        <row r="16">
          <cell r="H1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4D9D-7D66-4416-A1BB-0DFE81CDDA1E}">
  <sheetPr>
    <tabColor rgb="FFC00000"/>
  </sheetPr>
  <dimension ref="A1:Q574"/>
  <sheetViews>
    <sheetView rightToLeft="1" tabSelected="1" zoomScale="90" zoomScaleNormal="90" workbookViewId="0">
      <selection activeCell="D29" sqref="D29"/>
    </sheetView>
  </sheetViews>
  <sheetFormatPr defaultRowHeight="14.35" x14ac:dyDescent="0.5"/>
  <cols>
    <col min="1" max="1" width="50" customWidth="1"/>
    <col min="2" max="2" width="13.41015625" customWidth="1"/>
    <col min="3" max="4" width="17.29296875" customWidth="1"/>
    <col min="5" max="5" width="13.5859375" customWidth="1"/>
    <col min="6" max="8" width="13.87890625" customWidth="1"/>
    <col min="9" max="10" width="13.5859375" customWidth="1"/>
    <col min="11" max="13" width="13.29296875" customWidth="1"/>
    <col min="14" max="19" width="13.703125" customWidth="1"/>
  </cols>
  <sheetData>
    <row r="1" spans="1:17" ht="30" customHeight="1" thickBot="1" x14ac:dyDescent="0.55000000000000004">
      <c r="A1" s="1" t="s">
        <v>0</v>
      </c>
      <c r="B1" s="2"/>
      <c r="C1" s="3" t="s">
        <v>1</v>
      </c>
      <c r="D1" s="4"/>
      <c r="E1" s="5" t="s">
        <v>2</v>
      </c>
      <c r="F1" s="6"/>
      <c r="G1" s="6"/>
      <c r="H1" s="6"/>
      <c r="I1" s="7" t="s">
        <v>3</v>
      </c>
      <c r="J1" s="8"/>
      <c r="K1" s="8"/>
      <c r="L1" s="9" t="s">
        <v>4</v>
      </c>
      <c r="M1" s="10"/>
      <c r="N1" s="10"/>
      <c r="O1" s="11" t="s">
        <v>5</v>
      </c>
      <c r="P1" s="12"/>
      <c r="Q1" s="13"/>
    </row>
    <row r="2" spans="1:17" ht="15" customHeight="1" thickBot="1" x14ac:dyDescent="0.6">
      <c r="A2" s="14">
        <v>1</v>
      </c>
      <c r="B2" s="15">
        <v>2</v>
      </c>
      <c r="C2" s="16" t="s">
        <v>6</v>
      </c>
      <c r="D2" s="17"/>
      <c r="E2" s="18" t="s">
        <v>7</v>
      </c>
      <c r="F2" s="19"/>
      <c r="G2" s="19"/>
      <c r="H2" s="19"/>
      <c r="I2" s="20" t="s">
        <v>7</v>
      </c>
      <c r="J2" s="21"/>
      <c r="K2" s="21"/>
      <c r="L2" s="22" t="s">
        <v>7</v>
      </c>
      <c r="M2" s="23"/>
      <c r="N2" s="23"/>
      <c r="O2" s="24" t="s">
        <v>8</v>
      </c>
      <c r="P2" s="25"/>
      <c r="Q2" s="26"/>
    </row>
    <row r="3" spans="1:17" ht="15.6" customHeight="1" thickBot="1" x14ac:dyDescent="0.55000000000000004">
      <c r="A3" s="27" t="s">
        <v>9</v>
      </c>
      <c r="B3" s="28" t="s">
        <v>10</v>
      </c>
      <c r="C3" s="16" t="s">
        <v>7</v>
      </c>
      <c r="D3" s="17"/>
      <c r="E3" s="18" t="s">
        <v>11</v>
      </c>
      <c r="F3" s="19"/>
      <c r="G3" s="19"/>
      <c r="H3" s="19"/>
      <c r="I3" s="20" t="s">
        <v>12</v>
      </c>
      <c r="J3" s="21"/>
      <c r="K3" s="21"/>
      <c r="L3" s="22" t="s">
        <v>12</v>
      </c>
      <c r="M3" s="23"/>
      <c r="N3" s="23"/>
      <c r="O3" s="24" t="s">
        <v>13</v>
      </c>
      <c r="P3" s="25"/>
      <c r="Q3" s="26"/>
    </row>
    <row r="4" spans="1:17" ht="15.6" customHeight="1" x14ac:dyDescent="0.5">
      <c r="A4" s="29" t="s">
        <v>14</v>
      </c>
      <c r="B4" s="30">
        <v>0</v>
      </c>
      <c r="C4" s="16" t="s">
        <v>12</v>
      </c>
      <c r="D4" s="17"/>
      <c r="E4" s="18" t="s">
        <v>12</v>
      </c>
      <c r="F4" s="19"/>
      <c r="G4" s="19"/>
      <c r="H4" s="19"/>
      <c r="I4" s="20" t="s">
        <v>15</v>
      </c>
      <c r="J4" s="21"/>
      <c r="K4" s="21"/>
      <c r="L4" s="31" t="s">
        <v>16</v>
      </c>
      <c r="M4" s="23"/>
      <c r="N4" s="23"/>
      <c r="O4" s="24" t="s">
        <v>17</v>
      </c>
      <c r="P4" s="25"/>
      <c r="Q4" s="26"/>
    </row>
    <row r="5" spans="1:17" ht="15.7" x14ac:dyDescent="0.5">
      <c r="A5" s="32" t="s">
        <v>18</v>
      </c>
      <c r="B5" s="30">
        <v>446</v>
      </c>
      <c r="C5" s="16" t="s">
        <v>19</v>
      </c>
      <c r="D5" s="17"/>
      <c r="E5" s="18" t="s">
        <v>20</v>
      </c>
      <c r="F5" s="19"/>
      <c r="G5" s="19"/>
      <c r="H5" s="19"/>
      <c r="I5" s="20" t="s">
        <v>21</v>
      </c>
      <c r="J5" s="21"/>
      <c r="K5" s="21"/>
      <c r="L5" s="31" t="s">
        <v>22</v>
      </c>
      <c r="M5" s="23"/>
      <c r="N5" s="23"/>
      <c r="O5" s="33" t="s">
        <v>23</v>
      </c>
      <c r="P5" s="25"/>
      <c r="Q5" s="26"/>
    </row>
    <row r="6" spans="1:17" ht="15.7" x14ac:dyDescent="0.5">
      <c r="A6" s="32" t="s">
        <v>24</v>
      </c>
      <c r="B6" s="30">
        <v>575</v>
      </c>
      <c r="C6" s="16" t="s">
        <v>25</v>
      </c>
      <c r="D6" s="17"/>
      <c r="E6" s="34" t="s">
        <v>16</v>
      </c>
      <c r="F6" s="19"/>
      <c r="G6" s="19"/>
      <c r="H6" s="19"/>
      <c r="I6" s="20" t="s">
        <v>25</v>
      </c>
      <c r="J6" s="21"/>
      <c r="K6" s="21"/>
      <c r="L6" s="31" t="s">
        <v>26</v>
      </c>
      <c r="M6" s="23"/>
      <c r="N6" s="23"/>
      <c r="O6" s="33" t="s">
        <v>27</v>
      </c>
      <c r="P6" s="25"/>
      <c r="Q6" s="26"/>
    </row>
    <row r="7" spans="1:17" ht="15.7" x14ac:dyDescent="0.5">
      <c r="A7" s="35" t="s">
        <v>8</v>
      </c>
      <c r="B7" s="36">
        <v>720</v>
      </c>
      <c r="C7" s="37" t="s">
        <v>16</v>
      </c>
      <c r="D7" s="38"/>
      <c r="E7" s="18" t="s">
        <v>25</v>
      </c>
      <c r="F7" s="19"/>
      <c r="G7" s="19"/>
      <c r="H7" s="19"/>
      <c r="I7" s="20" t="s">
        <v>28</v>
      </c>
      <c r="J7" s="21"/>
      <c r="K7" s="21"/>
      <c r="L7" s="31" t="s">
        <v>29</v>
      </c>
      <c r="M7" s="23"/>
      <c r="N7" s="23"/>
      <c r="O7" s="33" t="s">
        <v>30</v>
      </c>
      <c r="P7" s="25"/>
      <c r="Q7" s="26"/>
    </row>
    <row r="8" spans="1:17" ht="15.7" x14ac:dyDescent="0.5">
      <c r="A8" s="35" t="s">
        <v>17</v>
      </c>
      <c r="B8" s="36">
        <v>842</v>
      </c>
      <c r="C8" s="37" t="s">
        <v>31</v>
      </c>
      <c r="D8" s="38"/>
      <c r="E8" s="34" t="s">
        <v>32</v>
      </c>
      <c r="F8" s="19"/>
      <c r="G8" s="19"/>
      <c r="H8" s="19"/>
      <c r="I8" s="20" t="s">
        <v>33</v>
      </c>
      <c r="J8" s="21"/>
      <c r="K8" s="21"/>
      <c r="L8" s="31" t="s">
        <v>34</v>
      </c>
      <c r="M8" s="23"/>
      <c r="N8" s="23"/>
      <c r="O8" s="24" t="s">
        <v>35</v>
      </c>
      <c r="P8" s="25"/>
      <c r="Q8" s="26"/>
    </row>
    <row r="9" spans="1:17" ht="15.7" x14ac:dyDescent="0.5">
      <c r="A9" s="35" t="s">
        <v>6</v>
      </c>
      <c r="B9" s="36">
        <v>1026</v>
      </c>
      <c r="C9" s="37" t="s">
        <v>36</v>
      </c>
      <c r="D9" s="38"/>
      <c r="E9" s="34" t="s">
        <v>37</v>
      </c>
      <c r="F9" s="19"/>
      <c r="G9" s="19"/>
      <c r="H9" s="19"/>
      <c r="I9" s="20" t="s">
        <v>16</v>
      </c>
      <c r="J9" s="21"/>
      <c r="K9" s="21"/>
      <c r="L9" s="31" t="s">
        <v>32</v>
      </c>
      <c r="M9" s="23"/>
      <c r="N9" s="23"/>
      <c r="O9" s="24" t="s">
        <v>38</v>
      </c>
      <c r="P9" s="25"/>
      <c r="Q9" s="26"/>
    </row>
    <row r="10" spans="1:17" ht="15.7" x14ac:dyDescent="0.5">
      <c r="A10" s="35" t="s">
        <v>7</v>
      </c>
      <c r="B10" s="36">
        <v>1165</v>
      </c>
      <c r="C10" s="37" t="s">
        <v>39</v>
      </c>
      <c r="D10" s="38"/>
      <c r="E10" s="34" t="s">
        <v>40</v>
      </c>
      <c r="F10" s="19"/>
      <c r="G10" s="19"/>
      <c r="H10" s="19"/>
      <c r="I10" s="39" t="s">
        <v>41</v>
      </c>
      <c r="J10" s="21"/>
      <c r="K10" s="21"/>
      <c r="L10" s="31" t="s">
        <v>37</v>
      </c>
      <c r="M10" s="23"/>
      <c r="N10" s="23"/>
      <c r="O10" s="24" t="s">
        <v>42</v>
      </c>
      <c r="P10" s="25"/>
      <c r="Q10" s="26"/>
    </row>
    <row r="11" spans="1:17" ht="15.7" x14ac:dyDescent="0.5">
      <c r="A11" s="35" t="s">
        <v>11</v>
      </c>
      <c r="B11" s="36">
        <v>1495</v>
      </c>
      <c r="C11" s="37" t="s">
        <v>41</v>
      </c>
      <c r="D11" s="38"/>
      <c r="E11" s="34" t="s">
        <v>39</v>
      </c>
      <c r="F11" s="19"/>
      <c r="G11" s="19"/>
      <c r="H11" s="19"/>
      <c r="I11" s="39" t="s">
        <v>22</v>
      </c>
      <c r="J11" s="21"/>
      <c r="K11" s="21"/>
      <c r="L11" s="31" t="s">
        <v>43</v>
      </c>
      <c r="M11" s="23"/>
      <c r="N11" s="23"/>
      <c r="O11" s="24" t="s">
        <v>44</v>
      </c>
      <c r="P11" s="25"/>
      <c r="Q11" s="26"/>
    </row>
    <row r="12" spans="1:17" ht="15.7" x14ac:dyDescent="0.5">
      <c r="A12" s="35" t="s">
        <v>12</v>
      </c>
      <c r="B12" s="36">
        <v>1686</v>
      </c>
      <c r="C12" s="37" t="s">
        <v>45</v>
      </c>
      <c r="D12" s="38"/>
      <c r="E12" s="34" t="s">
        <v>45</v>
      </c>
      <c r="F12" s="19"/>
      <c r="G12" s="19"/>
      <c r="H12" s="19"/>
      <c r="I12" s="20" t="s">
        <v>46</v>
      </c>
      <c r="J12" s="21"/>
      <c r="K12" s="21"/>
      <c r="L12" s="31" t="s">
        <v>47</v>
      </c>
      <c r="M12" s="23"/>
      <c r="N12" s="23"/>
      <c r="O12" s="24" t="s">
        <v>48</v>
      </c>
      <c r="P12" s="25"/>
      <c r="Q12" s="26"/>
    </row>
    <row r="13" spans="1:17" ht="15.7" x14ac:dyDescent="0.5">
      <c r="A13" s="35" t="s">
        <v>20</v>
      </c>
      <c r="B13" s="36">
        <v>1886</v>
      </c>
      <c r="C13" s="37" t="s">
        <v>22</v>
      </c>
      <c r="D13" s="38"/>
      <c r="E13" s="34" t="s">
        <v>41</v>
      </c>
      <c r="F13" s="19"/>
      <c r="G13" s="19"/>
      <c r="H13" s="19"/>
      <c r="I13" s="39" t="s">
        <v>49</v>
      </c>
      <c r="J13" s="21"/>
      <c r="K13" s="21"/>
      <c r="L13" s="31" t="s">
        <v>50</v>
      </c>
      <c r="M13" s="23"/>
      <c r="N13" s="23"/>
      <c r="O13" s="24" t="s">
        <v>51</v>
      </c>
      <c r="P13" s="25"/>
      <c r="Q13" s="26"/>
    </row>
    <row r="14" spans="1:17" ht="16" thickBot="1" x14ac:dyDescent="0.55000000000000004">
      <c r="A14" s="35" t="s">
        <v>15</v>
      </c>
      <c r="B14" s="36">
        <v>2990</v>
      </c>
      <c r="C14" s="37" t="s">
        <v>52</v>
      </c>
      <c r="D14" s="38"/>
      <c r="E14" s="34" t="s">
        <v>22</v>
      </c>
      <c r="F14" s="19"/>
      <c r="G14" s="19"/>
      <c r="H14" s="19"/>
      <c r="I14" s="20" t="s">
        <v>52</v>
      </c>
      <c r="J14" s="21"/>
      <c r="K14" s="21"/>
      <c r="L14" s="31" t="s">
        <v>53</v>
      </c>
      <c r="M14" s="23"/>
      <c r="N14" s="23"/>
      <c r="O14" s="24" t="s">
        <v>54</v>
      </c>
      <c r="P14" s="25"/>
      <c r="Q14" s="26"/>
    </row>
    <row r="15" spans="1:17" ht="18" customHeight="1" x14ac:dyDescent="0.5">
      <c r="A15" s="35" t="s">
        <v>21</v>
      </c>
      <c r="B15" s="36">
        <v>4026</v>
      </c>
      <c r="C15" s="37" t="s">
        <v>55</v>
      </c>
      <c r="D15" s="38"/>
      <c r="E15" s="34" t="s">
        <v>56</v>
      </c>
      <c r="F15" s="19"/>
      <c r="G15" s="19"/>
      <c r="H15" s="19"/>
      <c r="I15" s="20" t="s">
        <v>55</v>
      </c>
      <c r="J15" s="21"/>
      <c r="K15" s="21"/>
      <c r="L15" s="40" t="s">
        <v>57</v>
      </c>
      <c r="M15" s="41"/>
      <c r="N15" s="41"/>
      <c r="O15" s="24" t="s">
        <v>58</v>
      </c>
      <c r="P15" s="25"/>
      <c r="Q15" s="26"/>
    </row>
    <row r="16" spans="1:17" ht="18" customHeight="1" thickBot="1" x14ac:dyDescent="0.55000000000000004">
      <c r="A16" s="35" t="s">
        <v>13</v>
      </c>
      <c r="B16" s="36">
        <v>2109</v>
      </c>
      <c r="C16" s="42" t="s">
        <v>59</v>
      </c>
      <c r="D16" s="38"/>
      <c r="E16" s="34" t="s">
        <v>26</v>
      </c>
      <c r="F16" s="19"/>
      <c r="G16" s="19"/>
      <c r="H16" s="19"/>
      <c r="I16" s="20" t="s">
        <v>60</v>
      </c>
      <c r="J16" s="21"/>
      <c r="K16" s="21"/>
      <c r="L16" s="43"/>
      <c r="M16" s="44"/>
      <c r="N16" s="44"/>
      <c r="O16" s="24" t="s">
        <v>61</v>
      </c>
      <c r="P16" s="25"/>
      <c r="Q16" s="26"/>
    </row>
    <row r="17" spans="1:17" ht="16.2" customHeight="1" x14ac:dyDescent="0.5">
      <c r="A17" s="35" t="s">
        <v>19</v>
      </c>
      <c r="B17" s="36">
        <v>0</v>
      </c>
      <c r="C17" s="42" t="s">
        <v>50</v>
      </c>
      <c r="D17" s="38"/>
      <c r="E17" s="34" t="s">
        <v>43</v>
      </c>
      <c r="F17" s="19"/>
      <c r="G17" s="19"/>
      <c r="H17" s="19"/>
      <c r="I17" s="20" t="s">
        <v>62</v>
      </c>
      <c r="J17" s="21"/>
      <c r="K17" s="21"/>
      <c r="L17" s="31" t="s">
        <v>14</v>
      </c>
      <c r="M17" s="23"/>
      <c r="N17" s="23"/>
      <c r="O17" s="24" t="s">
        <v>63</v>
      </c>
      <c r="P17" s="25"/>
      <c r="Q17" s="26"/>
    </row>
    <row r="18" spans="1:17" ht="15.7" x14ac:dyDescent="0.5">
      <c r="A18" s="35" t="s">
        <v>25</v>
      </c>
      <c r="B18" s="36">
        <v>3021</v>
      </c>
      <c r="C18" s="37" t="s">
        <v>64</v>
      </c>
      <c r="D18" s="38"/>
      <c r="E18" s="34" t="s">
        <v>65</v>
      </c>
      <c r="F18" s="19"/>
      <c r="G18" s="19"/>
      <c r="H18" s="19"/>
      <c r="I18" s="20" t="s">
        <v>64</v>
      </c>
      <c r="J18" s="21"/>
      <c r="K18" s="21"/>
      <c r="L18" s="22" t="s">
        <v>7</v>
      </c>
      <c r="M18" s="23"/>
      <c r="N18" s="23"/>
      <c r="O18" s="24" t="s">
        <v>66</v>
      </c>
      <c r="P18" s="25"/>
      <c r="Q18" s="26"/>
    </row>
    <row r="19" spans="1:17" ht="16" thickBot="1" x14ac:dyDescent="0.55000000000000004">
      <c r="A19" s="35" t="s">
        <v>28</v>
      </c>
      <c r="B19" s="36">
        <v>0</v>
      </c>
      <c r="C19" s="45" t="s">
        <v>34</v>
      </c>
      <c r="D19" s="46"/>
      <c r="E19" s="34" t="s">
        <v>29</v>
      </c>
      <c r="F19" s="19"/>
      <c r="G19" s="19"/>
      <c r="H19" s="19"/>
      <c r="I19" s="20" t="s">
        <v>34</v>
      </c>
      <c r="J19" s="21"/>
      <c r="K19" s="21"/>
      <c r="L19" s="22" t="s">
        <v>11</v>
      </c>
      <c r="M19" s="23"/>
      <c r="N19" s="23"/>
      <c r="O19" s="24" t="s">
        <v>67</v>
      </c>
      <c r="P19" s="25"/>
      <c r="Q19" s="26"/>
    </row>
    <row r="20" spans="1:17" ht="16" thickBot="1" x14ac:dyDescent="0.55000000000000004">
      <c r="A20" s="35" t="s">
        <v>33</v>
      </c>
      <c r="B20" s="36">
        <v>6384</v>
      </c>
      <c r="C20" s="47"/>
      <c r="D20" s="47"/>
      <c r="E20" s="34" t="s">
        <v>47</v>
      </c>
      <c r="F20" s="19"/>
      <c r="G20" s="19"/>
      <c r="H20" s="19"/>
      <c r="I20" s="20" t="s">
        <v>68</v>
      </c>
      <c r="J20" s="21"/>
      <c r="K20" s="21"/>
      <c r="L20" s="22" t="s">
        <v>12</v>
      </c>
      <c r="M20" s="23"/>
      <c r="N20" s="23"/>
      <c r="O20" s="48" t="s">
        <v>69</v>
      </c>
      <c r="P20" s="49"/>
      <c r="Q20" s="50"/>
    </row>
    <row r="21" spans="1:17" ht="18" customHeight="1" x14ac:dyDescent="0.5">
      <c r="A21" s="51" t="s">
        <v>70</v>
      </c>
      <c r="B21" s="36">
        <v>0</v>
      </c>
      <c r="C21" s="47"/>
      <c r="D21" s="47"/>
      <c r="E21" s="34" t="s">
        <v>59</v>
      </c>
      <c r="F21" s="19"/>
      <c r="G21" s="19"/>
      <c r="H21" s="19"/>
      <c r="I21" s="20" t="s">
        <v>71</v>
      </c>
      <c r="J21" s="21"/>
      <c r="K21" s="21"/>
      <c r="L21" s="22" t="s">
        <v>20</v>
      </c>
      <c r="M21" s="23"/>
      <c r="N21" s="52"/>
    </row>
    <row r="22" spans="1:17" ht="18" customHeight="1" x14ac:dyDescent="0.5">
      <c r="A22" s="51" t="s">
        <v>72</v>
      </c>
      <c r="B22" s="36">
        <v>0</v>
      </c>
      <c r="C22" s="47"/>
      <c r="D22" s="47"/>
      <c r="E22" s="34" t="s">
        <v>50</v>
      </c>
      <c r="F22" s="19"/>
      <c r="G22" s="19"/>
      <c r="H22" s="19"/>
      <c r="I22" s="39" t="s">
        <v>32</v>
      </c>
      <c r="J22" s="21"/>
      <c r="K22" s="21"/>
      <c r="L22" s="22" t="s">
        <v>15</v>
      </c>
      <c r="M22" s="23"/>
      <c r="N22" s="52"/>
    </row>
    <row r="23" spans="1:17" ht="18" customHeight="1" x14ac:dyDescent="0.5">
      <c r="A23" s="51" t="s">
        <v>73</v>
      </c>
      <c r="B23" s="36">
        <v>0</v>
      </c>
      <c r="C23" s="47"/>
      <c r="D23" s="47"/>
      <c r="E23" s="34" t="s">
        <v>64</v>
      </c>
      <c r="F23" s="19"/>
      <c r="G23" s="19"/>
      <c r="H23" s="19"/>
      <c r="I23" s="39" t="s">
        <v>37</v>
      </c>
      <c r="J23" s="21"/>
      <c r="K23" s="21"/>
      <c r="L23" s="31" t="s">
        <v>74</v>
      </c>
      <c r="M23" s="23"/>
      <c r="N23" s="52"/>
    </row>
    <row r="24" spans="1:17" ht="18" customHeight="1" x14ac:dyDescent="0.5">
      <c r="A24" s="51" t="s">
        <v>23</v>
      </c>
      <c r="B24" s="36">
        <v>0</v>
      </c>
      <c r="C24" s="47"/>
      <c r="D24" s="47"/>
      <c r="E24" s="34" t="s">
        <v>34</v>
      </c>
      <c r="F24" s="19"/>
      <c r="G24" s="19"/>
      <c r="H24" s="19"/>
      <c r="I24" s="39" t="s">
        <v>75</v>
      </c>
      <c r="J24" s="21"/>
      <c r="K24" s="21"/>
      <c r="L24" s="31" t="s">
        <v>76</v>
      </c>
      <c r="M24" s="23"/>
      <c r="N24" s="52"/>
    </row>
    <row r="25" spans="1:17" ht="16" thickBot="1" x14ac:dyDescent="0.55000000000000004">
      <c r="A25" s="51" t="s">
        <v>27</v>
      </c>
      <c r="B25" s="36">
        <v>0</v>
      </c>
      <c r="C25" s="47"/>
      <c r="D25" s="47"/>
      <c r="E25" s="53" t="s">
        <v>53</v>
      </c>
      <c r="F25" s="54"/>
      <c r="G25" s="54"/>
      <c r="H25" s="54"/>
      <c r="I25" s="39" t="s">
        <v>77</v>
      </c>
      <c r="J25" s="21"/>
      <c r="K25" s="21"/>
      <c r="L25" s="31" t="s">
        <v>78</v>
      </c>
      <c r="M25" s="23"/>
      <c r="N25" s="52"/>
    </row>
    <row r="26" spans="1:17" ht="16" thickBot="1" x14ac:dyDescent="0.55000000000000004">
      <c r="A26" s="51" t="s">
        <v>16</v>
      </c>
      <c r="B26" s="36">
        <v>2120</v>
      </c>
      <c r="C26" s="47"/>
      <c r="D26" s="47"/>
      <c r="I26" s="39" t="s">
        <v>50</v>
      </c>
      <c r="J26" s="21"/>
      <c r="K26" s="21"/>
      <c r="L26" s="55" t="s">
        <v>79</v>
      </c>
      <c r="M26" s="56"/>
      <c r="N26" s="57"/>
    </row>
    <row r="27" spans="1:17" ht="16" thickBot="1" x14ac:dyDescent="0.55000000000000004">
      <c r="A27" s="51" t="s">
        <v>30</v>
      </c>
      <c r="B27" s="36">
        <v>0</v>
      </c>
      <c r="C27" s="47"/>
      <c r="D27" s="47"/>
      <c r="I27" s="58" t="s">
        <v>80</v>
      </c>
      <c r="J27" s="59"/>
      <c r="K27" s="60"/>
    </row>
    <row r="28" spans="1:17" ht="15.7" x14ac:dyDescent="0.5">
      <c r="A28" s="51" t="s">
        <v>32</v>
      </c>
      <c r="B28" s="36">
        <v>0</v>
      </c>
      <c r="C28" s="47"/>
      <c r="D28" s="47"/>
      <c r="E28" s="61"/>
    </row>
    <row r="29" spans="1:17" ht="15.7" x14ac:dyDescent="0.5">
      <c r="A29" s="51" t="s">
        <v>37</v>
      </c>
      <c r="B29" s="36">
        <v>0</v>
      </c>
      <c r="C29" s="47"/>
      <c r="D29" s="47"/>
      <c r="I29" s="47"/>
    </row>
    <row r="30" spans="1:17" ht="15.7" x14ac:dyDescent="0.5">
      <c r="A30" s="62" t="s">
        <v>39</v>
      </c>
      <c r="B30" s="63">
        <f>B6*2+816</f>
        <v>1966</v>
      </c>
      <c r="C30" s="47"/>
      <c r="D30" s="47"/>
      <c r="I30" s="47"/>
    </row>
    <row r="31" spans="1:17" ht="15.7" x14ac:dyDescent="0.5">
      <c r="A31" s="62" t="s">
        <v>45</v>
      </c>
      <c r="B31" s="63">
        <f>B6*2+1212</f>
        <v>2362</v>
      </c>
      <c r="C31" s="47"/>
      <c r="D31" s="47"/>
    </row>
    <row r="32" spans="1:17" ht="15.7" x14ac:dyDescent="0.5">
      <c r="A32" s="62" t="s">
        <v>41</v>
      </c>
      <c r="B32" s="63">
        <f>B7*2+816</f>
        <v>2256</v>
      </c>
      <c r="C32" s="47"/>
      <c r="D32" s="47"/>
    </row>
    <row r="33" spans="1:4" ht="15.7" x14ac:dyDescent="0.5">
      <c r="A33" s="62" t="s">
        <v>22</v>
      </c>
      <c r="B33" s="63">
        <f>B7*2+1212</f>
        <v>2652</v>
      </c>
      <c r="C33" s="47"/>
      <c r="D33" s="47"/>
    </row>
    <row r="34" spans="1:4" ht="15.7" x14ac:dyDescent="0.5">
      <c r="A34" s="62" t="s">
        <v>52</v>
      </c>
      <c r="B34" s="63">
        <f>B16*2+816</f>
        <v>5034</v>
      </c>
      <c r="C34" s="47"/>
      <c r="D34" s="47"/>
    </row>
    <row r="35" spans="1:4" ht="15.7" x14ac:dyDescent="0.5">
      <c r="A35" s="62" t="s">
        <v>55</v>
      </c>
      <c r="B35" s="63">
        <f>B16*2+1212</f>
        <v>5430</v>
      </c>
      <c r="C35" s="47"/>
      <c r="D35" s="47"/>
    </row>
    <row r="36" spans="1:4" ht="15.7" x14ac:dyDescent="0.5">
      <c r="A36" s="62" t="s">
        <v>81</v>
      </c>
      <c r="B36" s="63">
        <f>B9*2+816</f>
        <v>2868</v>
      </c>
      <c r="C36" s="47"/>
      <c r="D36" s="47"/>
    </row>
    <row r="37" spans="1:4" ht="15.7" x14ac:dyDescent="0.5">
      <c r="A37" s="62" t="s">
        <v>82</v>
      </c>
      <c r="B37" s="63">
        <f>B9*2+1212</f>
        <v>3264</v>
      </c>
      <c r="C37" s="47"/>
      <c r="D37" s="47"/>
    </row>
    <row r="38" spans="1:4" ht="15.7" x14ac:dyDescent="0.5">
      <c r="A38" s="62" t="s">
        <v>46</v>
      </c>
      <c r="B38" s="63">
        <f>B10*2+816</f>
        <v>3146</v>
      </c>
      <c r="C38" s="47"/>
      <c r="D38" s="47"/>
    </row>
    <row r="39" spans="1:4" ht="15.7" x14ac:dyDescent="0.5">
      <c r="A39" s="62" t="s">
        <v>49</v>
      </c>
      <c r="B39" s="63">
        <f>B10*2+1212</f>
        <v>3542</v>
      </c>
      <c r="C39" s="47"/>
      <c r="D39" s="47"/>
    </row>
    <row r="40" spans="1:4" ht="15.7" x14ac:dyDescent="0.5">
      <c r="A40" s="62" t="s">
        <v>60</v>
      </c>
      <c r="B40" s="63">
        <f>B18*2+816</f>
        <v>6858</v>
      </c>
      <c r="C40" s="47"/>
      <c r="D40" s="47"/>
    </row>
    <row r="41" spans="1:4" ht="15.7" x14ac:dyDescent="0.5">
      <c r="A41" s="62" t="s">
        <v>62</v>
      </c>
      <c r="B41" s="63">
        <f>B18*2+1212</f>
        <v>7254</v>
      </c>
      <c r="C41" s="47"/>
      <c r="D41" s="47"/>
    </row>
    <row r="42" spans="1:4" ht="15.7" x14ac:dyDescent="0.5">
      <c r="A42" s="62" t="s">
        <v>74</v>
      </c>
      <c r="B42" s="63">
        <f>B10*2+1600</f>
        <v>3930</v>
      </c>
      <c r="C42" s="47"/>
      <c r="D42" s="47"/>
    </row>
    <row r="43" spans="1:4" ht="15.7" x14ac:dyDescent="0.5">
      <c r="A43" s="62" t="s">
        <v>76</v>
      </c>
      <c r="B43" s="63">
        <f>B12*2+1600</f>
        <v>4972</v>
      </c>
      <c r="C43" s="47"/>
      <c r="D43" s="47"/>
    </row>
    <row r="44" spans="1:4" ht="15.7" x14ac:dyDescent="0.5">
      <c r="A44" s="62" t="s">
        <v>78</v>
      </c>
      <c r="B44" s="63">
        <f>B11*2+1600</f>
        <v>4590</v>
      </c>
      <c r="C44" s="47"/>
      <c r="D44" s="47"/>
    </row>
    <row r="45" spans="1:4" ht="15.7" x14ac:dyDescent="0.5">
      <c r="A45" s="62" t="s">
        <v>79</v>
      </c>
      <c r="B45" s="63">
        <f>B13*2+1600</f>
        <v>5372</v>
      </c>
      <c r="C45" s="47"/>
      <c r="D45" s="47"/>
    </row>
    <row r="46" spans="1:4" ht="15.7" x14ac:dyDescent="0.5">
      <c r="A46" s="62" t="s">
        <v>56</v>
      </c>
      <c r="B46" s="63">
        <v>0</v>
      </c>
      <c r="C46" s="47"/>
      <c r="D46" s="47"/>
    </row>
    <row r="47" spans="1:4" ht="15.7" x14ac:dyDescent="0.5">
      <c r="A47" s="62" t="s">
        <v>26</v>
      </c>
      <c r="B47" s="63">
        <v>0</v>
      </c>
      <c r="C47" s="47"/>
      <c r="D47" s="47"/>
    </row>
    <row r="48" spans="1:4" ht="15.7" x14ac:dyDescent="0.5">
      <c r="A48" s="62" t="s">
        <v>43</v>
      </c>
      <c r="B48" s="63">
        <v>0</v>
      </c>
      <c r="C48" s="47"/>
      <c r="D48" s="47"/>
    </row>
    <row r="49" spans="1:4" ht="15.7" x14ac:dyDescent="0.5">
      <c r="A49" s="62" t="s">
        <v>65</v>
      </c>
      <c r="B49" s="63">
        <v>0</v>
      </c>
      <c r="C49" s="47"/>
      <c r="D49" s="47"/>
    </row>
    <row r="50" spans="1:4" ht="15.7" x14ac:dyDescent="0.5">
      <c r="A50" s="62" t="s">
        <v>29</v>
      </c>
      <c r="B50" s="63">
        <v>0</v>
      </c>
      <c r="C50" s="47"/>
      <c r="D50" s="47"/>
    </row>
    <row r="51" spans="1:4" ht="18" customHeight="1" x14ac:dyDescent="0.5">
      <c r="A51" s="64" t="s">
        <v>47</v>
      </c>
      <c r="B51" s="65">
        <v>0</v>
      </c>
      <c r="C51" s="47"/>
      <c r="D51" s="47"/>
    </row>
    <row r="52" spans="1:4" ht="18" customHeight="1" x14ac:dyDescent="0.5">
      <c r="A52" s="64" t="s">
        <v>59</v>
      </c>
      <c r="B52" s="65">
        <v>0</v>
      </c>
      <c r="C52" s="47"/>
      <c r="D52" s="47"/>
    </row>
    <row r="53" spans="1:4" ht="15.6" customHeight="1" x14ac:dyDescent="0.5">
      <c r="A53" s="62" t="s">
        <v>50</v>
      </c>
      <c r="B53" s="63">
        <v>0</v>
      </c>
      <c r="C53" s="47"/>
      <c r="D53" s="47"/>
    </row>
    <row r="54" spans="1:4" ht="15.6" customHeight="1" x14ac:dyDescent="0.5">
      <c r="A54" s="62" t="s">
        <v>80</v>
      </c>
      <c r="B54" s="63">
        <v>0</v>
      </c>
      <c r="C54" s="47"/>
      <c r="D54" s="47"/>
    </row>
    <row r="55" spans="1:4" ht="15.7" x14ac:dyDescent="0.5">
      <c r="A55" s="62" t="s">
        <v>64</v>
      </c>
      <c r="B55" s="63">
        <v>0</v>
      </c>
      <c r="C55" s="47"/>
      <c r="D55" s="47"/>
    </row>
    <row r="56" spans="1:4" ht="15.7" x14ac:dyDescent="0.5">
      <c r="A56" s="62" t="s">
        <v>34</v>
      </c>
      <c r="B56" s="63">
        <v>0</v>
      </c>
      <c r="C56" s="47"/>
      <c r="D56" s="47"/>
    </row>
    <row r="57" spans="1:4" ht="15.7" x14ac:dyDescent="0.5">
      <c r="A57" s="62" t="s">
        <v>68</v>
      </c>
      <c r="B57" s="63">
        <v>0</v>
      </c>
      <c r="C57" s="47"/>
      <c r="D57" s="47"/>
    </row>
    <row r="58" spans="1:4" ht="15.7" x14ac:dyDescent="0.5">
      <c r="A58" s="62" t="s">
        <v>71</v>
      </c>
      <c r="B58" s="63">
        <v>0</v>
      </c>
      <c r="C58" s="47"/>
      <c r="D58" s="47"/>
    </row>
    <row r="59" spans="1:4" ht="15.7" x14ac:dyDescent="0.5">
      <c r="A59" s="35" t="s">
        <v>35</v>
      </c>
      <c r="B59" s="36">
        <v>958</v>
      </c>
      <c r="C59" s="47"/>
      <c r="D59" s="47"/>
    </row>
    <row r="60" spans="1:4" ht="15.7" x14ac:dyDescent="0.5">
      <c r="A60" s="35" t="s">
        <v>38</v>
      </c>
      <c r="B60" s="36">
        <v>1408</v>
      </c>
      <c r="C60" s="47"/>
      <c r="D60" s="47"/>
    </row>
    <row r="61" spans="1:4" ht="15.7" x14ac:dyDescent="0.5">
      <c r="A61" s="35" t="s">
        <v>44</v>
      </c>
      <c r="B61" s="36">
        <v>0</v>
      </c>
      <c r="C61" s="47"/>
      <c r="D61" s="47"/>
    </row>
    <row r="62" spans="1:4" ht="15.7" x14ac:dyDescent="0.5">
      <c r="A62" s="35" t="s">
        <v>48</v>
      </c>
      <c r="B62" s="36">
        <v>0</v>
      </c>
      <c r="C62" s="47"/>
      <c r="D62" s="47"/>
    </row>
    <row r="63" spans="1:4" ht="15.7" x14ac:dyDescent="0.5">
      <c r="A63" s="35" t="s">
        <v>83</v>
      </c>
      <c r="B63" s="36">
        <v>0</v>
      </c>
      <c r="C63" s="47"/>
      <c r="D63" s="47"/>
    </row>
    <row r="64" spans="1:4" ht="15.7" x14ac:dyDescent="0.5">
      <c r="A64" s="35" t="s">
        <v>51</v>
      </c>
      <c r="B64" s="36">
        <v>0</v>
      </c>
      <c r="C64" s="47"/>
      <c r="D64" s="47"/>
    </row>
    <row r="65" spans="1:4" ht="15.7" x14ac:dyDescent="0.5">
      <c r="A65" s="66" t="s">
        <v>54</v>
      </c>
      <c r="B65" s="67">
        <v>0</v>
      </c>
      <c r="C65" s="47"/>
      <c r="D65" s="47"/>
    </row>
    <row r="66" spans="1:4" ht="15.7" x14ac:dyDescent="0.5">
      <c r="A66" s="35" t="s">
        <v>58</v>
      </c>
      <c r="B66" s="36">
        <v>0</v>
      </c>
      <c r="C66" s="47"/>
      <c r="D66" s="47"/>
    </row>
    <row r="67" spans="1:4" ht="15.7" x14ac:dyDescent="0.5">
      <c r="A67" s="35" t="s">
        <v>61</v>
      </c>
      <c r="B67" s="36">
        <v>0</v>
      </c>
      <c r="C67" s="47"/>
      <c r="D67" s="47"/>
    </row>
    <row r="68" spans="1:4" ht="15.7" x14ac:dyDescent="0.5">
      <c r="A68" s="35" t="s">
        <v>63</v>
      </c>
      <c r="B68" s="36">
        <v>0</v>
      </c>
      <c r="C68" s="47"/>
      <c r="D68" s="47"/>
    </row>
    <row r="69" spans="1:4" ht="15.7" x14ac:dyDescent="0.5">
      <c r="A69" s="35" t="s">
        <v>66</v>
      </c>
      <c r="B69" s="36">
        <v>0</v>
      </c>
      <c r="C69" s="47"/>
      <c r="D69" s="47"/>
    </row>
    <row r="70" spans="1:4" ht="15.7" x14ac:dyDescent="0.5">
      <c r="A70" s="35" t="s">
        <v>67</v>
      </c>
      <c r="B70" s="36">
        <v>0</v>
      </c>
      <c r="C70" s="47"/>
      <c r="D70" s="47"/>
    </row>
    <row r="71" spans="1:4" ht="16" thickBot="1" x14ac:dyDescent="0.6">
      <c r="A71" s="68" t="s">
        <v>69</v>
      </c>
      <c r="B71" s="69">
        <v>0</v>
      </c>
      <c r="C71" s="47"/>
      <c r="D71" s="47"/>
    </row>
    <row r="72" spans="1:4" ht="16.2" customHeight="1" x14ac:dyDescent="0.5">
      <c r="A72" s="70" t="s">
        <v>84</v>
      </c>
      <c r="B72" s="71"/>
      <c r="C72" s="72"/>
      <c r="D72" s="72"/>
    </row>
    <row r="73" spans="1:4" ht="16.2" customHeight="1" thickBot="1" x14ac:dyDescent="0.55000000000000004">
      <c r="A73" s="73"/>
      <c r="B73" s="74"/>
      <c r="C73" s="72"/>
      <c r="D73" s="72"/>
    </row>
    <row r="74" spans="1:4" ht="15.6" customHeight="1" thickBot="1" x14ac:dyDescent="0.55000000000000004">
      <c r="A74" s="75">
        <v>1</v>
      </c>
      <c r="B74" s="76">
        <v>2</v>
      </c>
      <c r="C74" s="77"/>
      <c r="D74" s="77"/>
    </row>
    <row r="75" spans="1:4" ht="15.6" customHeight="1" thickBot="1" x14ac:dyDescent="0.55000000000000004">
      <c r="A75" s="78" t="s">
        <v>9</v>
      </c>
      <c r="B75" s="79" t="s">
        <v>10</v>
      </c>
      <c r="C75" s="47"/>
      <c r="D75" s="47"/>
    </row>
    <row r="76" spans="1:4" ht="15.75" customHeight="1" x14ac:dyDescent="0.5">
      <c r="A76" s="80" t="s">
        <v>14</v>
      </c>
      <c r="B76" s="81">
        <v>0</v>
      </c>
      <c r="C76" s="47"/>
      <c r="D76" s="47"/>
    </row>
    <row r="77" spans="1:4" ht="15.6" customHeight="1" x14ac:dyDescent="0.5">
      <c r="A77" s="82" t="s">
        <v>85</v>
      </c>
      <c r="B77" s="83">
        <v>108</v>
      </c>
      <c r="C77" s="47"/>
      <c r="D77" s="47"/>
    </row>
    <row r="78" spans="1:4" ht="15.7" x14ac:dyDescent="0.5">
      <c r="A78" s="82" t="s">
        <v>86</v>
      </c>
      <c r="B78" s="83">
        <v>291</v>
      </c>
      <c r="C78" s="47"/>
      <c r="D78" s="47"/>
    </row>
    <row r="79" spans="1:4" ht="15.7" x14ac:dyDescent="0.5">
      <c r="A79" s="82" t="s">
        <v>87</v>
      </c>
      <c r="B79" s="83">
        <v>0</v>
      </c>
      <c r="C79" s="47"/>
      <c r="D79" s="47"/>
    </row>
    <row r="80" spans="1:4" ht="18" customHeight="1" x14ac:dyDescent="0.5">
      <c r="A80" s="82" t="s">
        <v>88</v>
      </c>
      <c r="B80" s="83">
        <v>0</v>
      </c>
      <c r="C80" s="47"/>
      <c r="D80" s="47"/>
    </row>
    <row r="81" spans="1:4" ht="15.6" customHeight="1" x14ac:dyDescent="0.5">
      <c r="A81" s="82" t="s">
        <v>89</v>
      </c>
      <c r="B81" s="83">
        <v>0</v>
      </c>
      <c r="C81" s="47"/>
      <c r="D81" s="47"/>
    </row>
    <row r="82" spans="1:4" ht="15.6" customHeight="1" x14ac:dyDescent="0.5">
      <c r="A82" s="84" t="s">
        <v>90</v>
      </c>
      <c r="B82" s="83">
        <v>0</v>
      </c>
      <c r="C82" s="47"/>
      <c r="D82" s="47"/>
    </row>
    <row r="83" spans="1:4" ht="18" customHeight="1" x14ac:dyDescent="0.5">
      <c r="A83" s="84" t="s">
        <v>91</v>
      </c>
      <c r="B83" s="83">
        <v>509</v>
      </c>
      <c r="C83" s="47"/>
      <c r="D83" s="47"/>
    </row>
    <row r="84" spans="1:4" ht="18" customHeight="1" x14ac:dyDescent="0.5">
      <c r="A84" s="84" t="s">
        <v>92</v>
      </c>
      <c r="B84" s="83">
        <v>0</v>
      </c>
      <c r="C84" s="47"/>
      <c r="D84" s="47"/>
    </row>
    <row r="85" spans="1:4" ht="15.7" x14ac:dyDescent="0.5">
      <c r="A85" s="84" t="s">
        <v>93</v>
      </c>
      <c r="B85" s="83">
        <v>0</v>
      </c>
      <c r="C85" s="47"/>
      <c r="D85" s="47"/>
    </row>
    <row r="86" spans="1:4" ht="15.7" x14ac:dyDescent="0.5">
      <c r="A86" s="84" t="s">
        <v>94</v>
      </c>
      <c r="B86" s="83">
        <v>0</v>
      </c>
      <c r="C86" s="47"/>
      <c r="D86" s="47"/>
    </row>
    <row r="87" spans="1:4" ht="15.7" x14ac:dyDescent="0.5">
      <c r="A87" s="84" t="s">
        <v>95</v>
      </c>
      <c r="B87" s="83">
        <v>0</v>
      </c>
      <c r="C87" s="47"/>
      <c r="D87" s="47"/>
    </row>
    <row r="88" spans="1:4" ht="15.7" x14ac:dyDescent="0.5">
      <c r="A88" s="84" t="s">
        <v>96</v>
      </c>
      <c r="B88" s="83">
        <v>0</v>
      </c>
      <c r="C88" s="47"/>
      <c r="D88" s="47"/>
    </row>
    <row r="89" spans="1:4" ht="18" customHeight="1" x14ac:dyDescent="0.5">
      <c r="A89" s="84" t="s">
        <v>97</v>
      </c>
      <c r="B89" s="83">
        <v>0</v>
      </c>
      <c r="C89" s="47"/>
      <c r="D89" s="47"/>
    </row>
    <row r="90" spans="1:4" ht="18" customHeight="1" x14ac:dyDescent="0.5">
      <c r="A90" s="84" t="s">
        <v>98</v>
      </c>
      <c r="B90" s="83">
        <v>0</v>
      </c>
      <c r="C90" s="47"/>
      <c r="D90" s="47"/>
    </row>
    <row r="91" spans="1:4" ht="18" customHeight="1" thickBot="1" x14ac:dyDescent="0.55000000000000004">
      <c r="A91" s="84" t="s">
        <v>99</v>
      </c>
      <c r="B91" s="83">
        <v>0</v>
      </c>
      <c r="C91" s="47"/>
      <c r="D91" s="47"/>
    </row>
    <row r="92" spans="1:4" ht="16.2" customHeight="1" x14ac:dyDescent="0.5">
      <c r="A92" s="70" t="s">
        <v>100</v>
      </c>
      <c r="B92" s="71"/>
      <c r="C92" s="72"/>
      <c r="D92" s="72"/>
    </row>
    <row r="93" spans="1:4" ht="16.2" customHeight="1" thickBot="1" x14ac:dyDescent="0.55000000000000004">
      <c r="A93" s="73"/>
      <c r="B93" s="74"/>
      <c r="C93" s="72"/>
      <c r="D93" s="72"/>
    </row>
    <row r="94" spans="1:4" ht="15.6" customHeight="1" thickBot="1" x14ac:dyDescent="0.55000000000000004">
      <c r="A94" s="85">
        <v>1</v>
      </c>
      <c r="B94" s="86">
        <v>2</v>
      </c>
      <c r="C94" s="77"/>
      <c r="D94" s="77"/>
    </row>
    <row r="95" spans="1:4" ht="15.6" customHeight="1" thickBot="1" x14ac:dyDescent="0.55000000000000004">
      <c r="A95" s="78" t="s">
        <v>9</v>
      </c>
      <c r="B95" s="79" t="s">
        <v>10</v>
      </c>
      <c r="C95" s="47"/>
      <c r="D95" s="47"/>
    </row>
    <row r="96" spans="1:4" ht="15.6" customHeight="1" x14ac:dyDescent="0.5">
      <c r="A96" s="80" t="s">
        <v>14</v>
      </c>
      <c r="B96" s="81">
        <v>0</v>
      </c>
      <c r="C96" s="47"/>
      <c r="D96" s="47"/>
    </row>
    <row r="97" spans="1:13" ht="15.6" customHeight="1" x14ac:dyDescent="0.5">
      <c r="A97" s="82" t="s">
        <v>101</v>
      </c>
      <c r="B97" s="83">
        <v>0</v>
      </c>
      <c r="C97" s="47"/>
      <c r="D97" s="47"/>
    </row>
    <row r="98" spans="1:13" ht="15.7" x14ac:dyDescent="0.5">
      <c r="A98" s="82" t="s">
        <v>102</v>
      </c>
      <c r="B98" s="83">
        <v>0</v>
      </c>
      <c r="C98" s="47"/>
      <c r="D98" s="47"/>
    </row>
    <row r="99" spans="1:13" ht="15.7" x14ac:dyDescent="0.5">
      <c r="A99" s="82" t="s">
        <v>103</v>
      </c>
      <c r="B99" s="83">
        <v>0</v>
      </c>
      <c r="C99" s="47"/>
      <c r="D99" s="47"/>
    </row>
    <row r="100" spans="1:13" ht="15.7" x14ac:dyDescent="0.5">
      <c r="A100" s="82" t="s">
        <v>104</v>
      </c>
      <c r="B100" s="83">
        <v>0</v>
      </c>
      <c r="C100" s="47"/>
      <c r="D100" s="47"/>
    </row>
    <row r="101" spans="1:13" ht="15.7" x14ac:dyDescent="0.5">
      <c r="A101" s="82" t="s">
        <v>105</v>
      </c>
      <c r="B101" s="83">
        <v>0</v>
      </c>
      <c r="C101" s="47"/>
      <c r="D101" s="47"/>
    </row>
    <row r="102" spans="1:13" ht="15.7" x14ac:dyDescent="0.5">
      <c r="A102" s="82" t="s">
        <v>106</v>
      </c>
      <c r="B102" s="83">
        <v>0</v>
      </c>
      <c r="C102" s="47"/>
      <c r="D102" s="47"/>
    </row>
    <row r="103" spans="1:13" ht="18" customHeight="1" x14ac:dyDescent="0.5">
      <c r="A103" s="82" t="s">
        <v>107</v>
      </c>
      <c r="B103" s="83">
        <v>0</v>
      </c>
      <c r="C103" s="47"/>
      <c r="D103" s="47"/>
    </row>
    <row r="104" spans="1:13" ht="18" customHeight="1" x14ac:dyDescent="0.5">
      <c r="A104" s="82" t="s">
        <v>108</v>
      </c>
      <c r="B104" s="83">
        <v>0</v>
      </c>
      <c r="C104" s="47"/>
      <c r="D104" s="47"/>
    </row>
    <row r="105" spans="1:13" ht="15.7" x14ac:dyDescent="0.5">
      <c r="A105" s="82" t="s">
        <v>109</v>
      </c>
      <c r="B105" s="83">
        <v>0</v>
      </c>
      <c r="C105" s="47"/>
      <c r="D105" s="47"/>
    </row>
    <row r="106" spans="1:13" ht="15.7" x14ac:dyDescent="0.55000000000000004">
      <c r="A106" s="82" t="s">
        <v>110</v>
      </c>
      <c r="B106" s="83">
        <v>0</v>
      </c>
      <c r="C106" s="47"/>
      <c r="D106" s="47"/>
      <c r="M106" s="87"/>
    </row>
    <row r="107" spans="1:13" ht="15.7" x14ac:dyDescent="0.55000000000000004">
      <c r="A107" s="82" t="s">
        <v>111</v>
      </c>
      <c r="B107" s="83">
        <v>0</v>
      </c>
      <c r="C107" s="47"/>
      <c r="D107" s="47"/>
      <c r="M107" s="87"/>
    </row>
    <row r="108" spans="1:13" ht="15.7" x14ac:dyDescent="0.55000000000000004">
      <c r="A108" s="82" t="s">
        <v>112</v>
      </c>
      <c r="B108" s="83">
        <v>0</v>
      </c>
      <c r="C108" s="47"/>
      <c r="D108" s="47"/>
      <c r="M108" s="87"/>
    </row>
    <row r="109" spans="1:13" ht="15.7" x14ac:dyDescent="0.55000000000000004">
      <c r="A109" s="82" t="s">
        <v>113</v>
      </c>
      <c r="B109" s="83">
        <v>0</v>
      </c>
      <c r="C109" s="47"/>
      <c r="D109" s="47"/>
      <c r="M109" s="87"/>
    </row>
    <row r="110" spans="1:13" ht="18" customHeight="1" x14ac:dyDescent="0.5">
      <c r="A110" s="82" t="s">
        <v>114</v>
      </c>
      <c r="B110" s="83">
        <v>0</v>
      </c>
      <c r="C110" s="47"/>
      <c r="D110" s="47"/>
    </row>
    <row r="111" spans="1:13" ht="15.6" customHeight="1" thickBot="1" x14ac:dyDescent="0.55000000000000004">
      <c r="A111" s="82" t="s">
        <v>115</v>
      </c>
      <c r="B111" s="83">
        <v>0</v>
      </c>
      <c r="C111" s="47"/>
      <c r="D111" s="47"/>
    </row>
    <row r="112" spans="1:13" ht="15.6" hidden="1" customHeight="1" x14ac:dyDescent="0.5">
      <c r="A112" s="88" t="s">
        <v>116</v>
      </c>
      <c r="B112" s="89"/>
      <c r="C112" s="90"/>
      <c r="D112" s="90"/>
    </row>
    <row r="113" spans="1:8" ht="15.6" hidden="1" customHeight="1" thickBot="1" x14ac:dyDescent="0.55000000000000004">
      <c r="A113" s="91"/>
      <c r="B113" s="92"/>
      <c r="C113" s="90"/>
      <c r="D113" s="90"/>
    </row>
    <row r="114" spans="1:8" ht="15.6" hidden="1" customHeight="1" thickBot="1" x14ac:dyDescent="0.55000000000000004">
      <c r="A114" s="93">
        <v>1</v>
      </c>
      <c r="B114" s="94">
        <v>2</v>
      </c>
      <c r="C114" s="95"/>
      <c r="D114" s="95"/>
    </row>
    <row r="115" spans="1:8" ht="15.6" hidden="1" customHeight="1" thickBot="1" x14ac:dyDescent="0.55000000000000004">
      <c r="A115" s="96" t="s">
        <v>9</v>
      </c>
      <c r="B115" s="97" t="s">
        <v>10</v>
      </c>
      <c r="C115" s="47"/>
      <c r="D115" s="47"/>
    </row>
    <row r="116" spans="1:8" ht="15.6" hidden="1" customHeight="1" x14ac:dyDescent="0.5">
      <c r="A116" s="98" t="s">
        <v>14</v>
      </c>
      <c r="B116" s="99">
        <v>0</v>
      </c>
      <c r="C116" s="47"/>
      <c r="D116" s="47"/>
    </row>
    <row r="117" spans="1:8" ht="16" hidden="1" thickBot="1" x14ac:dyDescent="0.55000000000000004">
      <c r="A117" s="98" t="s">
        <v>117</v>
      </c>
      <c r="B117" s="99">
        <v>160</v>
      </c>
      <c r="C117" s="47"/>
      <c r="D117" s="47"/>
    </row>
    <row r="118" spans="1:8" ht="16" hidden="1" thickBot="1" x14ac:dyDescent="0.55000000000000004">
      <c r="A118" s="100" t="s">
        <v>118</v>
      </c>
      <c r="B118" s="101">
        <v>264.5</v>
      </c>
      <c r="C118" s="47"/>
      <c r="D118" s="47"/>
    </row>
    <row r="119" spans="1:8" ht="16" hidden="1" thickBot="1" x14ac:dyDescent="0.55000000000000004">
      <c r="A119" s="100" t="s">
        <v>119</v>
      </c>
      <c r="B119" s="101">
        <v>315</v>
      </c>
      <c r="C119" s="47"/>
      <c r="D119" s="47"/>
    </row>
    <row r="120" spans="1:8" ht="16" hidden="1" thickBot="1" x14ac:dyDescent="0.55000000000000004">
      <c r="A120" s="102" t="s">
        <v>120</v>
      </c>
      <c r="B120" s="101">
        <v>35</v>
      </c>
      <c r="C120" s="47"/>
      <c r="D120" s="47"/>
    </row>
    <row r="121" spans="1:8" ht="16" hidden="1" thickBot="1" x14ac:dyDescent="0.55000000000000004">
      <c r="A121" s="102" t="s">
        <v>121</v>
      </c>
      <c r="B121" s="101">
        <v>45</v>
      </c>
      <c r="C121" s="47"/>
      <c r="D121" s="47"/>
    </row>
    <row r="122" spans="1:8" ht="16" hidden="1" thickBot="1" x14ac:dyDescent="0.55000000000000004">
      <c r="A122" s="100" t="s">
        <v>122</v>
      </c>
      <c r="B122" s="101">
        <v>55</v>
      </c>
      <c r="C122" s="47"/>
      <c r="D122" s="47"/>
    </row>
    <row r="123" spans="1:8" ht="16" hidden="1" thickBot="1" x14ac:dyDescent="0.55000000000000004">
      <c r="A123" s="100" t="s">
        <v>123</v>
      </c>
      <c r="B123" s="101">
        <v>65</v>
      </c>
      <c r="C123" s="47"/>
      <c r="D123" s="47"/>
    </row>
    <row r="124" spans="1:8" ht="16" hidden="1" thickBot="1" x14ac:dyDescent="0.55000000000000004">
      <c r="A124" s="100" t="s">
        <v>124</v>
      </c>
      <c r="B124" s="101">
        <v>95</v>
      </c>
      <c r="C124" s="47"/>
      <c r="D124" s="47"/>
    </row>
    <row r="125" spans="1:8" ht="16" hidden="1" thickBot="1" x14ac:dyDescent="0.55000000000000004">
      <c r="A125" s="103" t="s">
        <v>125</v>
      </c>
      <c r="B125" s="104">
        <v>115</v>
      </c>
      <c r="C125" s="47"/>
      <c r="D125" s="47"/>
    </row>
    <row r="126" spans="1:8" ht="15.6" hidden="1" customHeight="1" x14ac:dyDescent="0.5">
      <c r="A126" s="88" t="s">
        <v>126</v>
      </c>
      <c r="B126" s="105"/>
      <c r="C126" s="89"/>
      <c r="D126" s="106" t="s">
        <v>127</v>
      </c>
      <c r="E126" s="88" t="s">
        <v>128</v>
      </c>
      <c r="F126" s="89"/>
      <c r="G126" s="90"/>
      <c r="H126" s="90"/>
    </row>
    <row r="127" spans="1:8" ht="15.6" hidden="1" customHeight="1" thickBot="1" x14ac:dyDescent="0.55000000000000004">
      <c r="A127" s="91"/>
      <c r="B127" s="107"/>
      <c r="C127" s="92"/>
      <c r="D127" s="108"/>
      <c r="E127" s="91"/>
      <c r="F127" s="92"/>
      <c r="G127" s="90"/>
      <c r="H127" s="90"/>
    </row>
    <row r="128" spans="1:8" ht="19.95" hidden="1" customHeight="1" thickBot="1" x14ac:dyDescent="0.55000000000000004">
      <c r="A128" s="109">
        <v>1</v>
      </c>
      <c r="B128" s="110">
        <v>2</v>
      </c>
      <c r="C128" s="110">
        <v>3</v>
      </c>
      <c r="D128" s="111">
        <v>230</v>
      </c>
      <c r="E128" s="112">
        <v>460</v>
      </c>
      <c r="F128" s="113" t="s">
        <v>129</v>
      </c>
    </row>
    <row r="129" spans="1:9" ht="19.2" hidden="1" customHeight="1" thickBot="1" x14ac:dyDescent="0.55000000000000004">
      <c r="A129" s="114" t="s">
        <v>9</v>
      </c>
      <c r="B129" s="115" t="s">
        <v>10</v>
      </c>
      <c r="C129" s="115" t="s">
        <v>130</v>
      </c>
      <c r="D129" s="116">
        <v>1350</v>
      </c>
      <c r="E129" s="116">
        <v>575</v>
      </c>
      <c r="F129" s="117" t="s">
        <v>131</v>
      </c>
    </row>
    <row r="130" spans="1:9" ht="18" hidden="1" customHeight="1" x14ac:dyDescent="0.5">
      <c r="A130" s="118" t="s">
        <v>14</v>
      </c>
      <c r="B130" s="119">
        <v>0</v>
      </c>
      <c r="C130" s="120">
        <v>0</v>
      </c>
      <c r="D130" s="116">
        <v>575</v>
      </c>
      <c r="E130" s="116">
        <v>250</v>
      </c>
      <c r="F130" s="117" t="s">
        <v>132</v>
      </c>
    </row>
    <row r="131" spans="1:9" ht="18" hidden="1" customHeight="1" x14ac:dyDescent="0.55000000000000004">
      <c r="A131" s="100" t="s">
        <v>133</v>
      </c>
      <c r="B131" s="121">
        <v>1455</v>
      </c>
      <c r="C131" s="101">
        <v>2100</v>
      </c>
      <c r="D131" s="116">
        <v>250</v>
      </c>
      <c r="E131" s="116">
        <v>170</v>
      </c>
      <c r="F131" s="117" t="s">
        <v>134</v>
      </c>
    </row>
    <row r="132" spans="1:9" ht="18" hidden="1" customHeight="1" thickBot="1" x14ac:dyDescent="0.6">
      <c r="A132" s="100" t="s">
        <v>135</v>
      </c>
      <c r="B132" s="121">
        <v>1675</v>
      </c>
      <c r="C132" s="101">
        <v>2300</v>
      </c>
      <c r="D132" s="122">
        <v>150</v>
      </c>
      <c r="E132" s="123"/>
      <c r="F132" s="124"/>
    </row>
    <row r="133" spans="1:9" ht="18" hidden="1" customHeight="1" thickBot="1" x14ac:dyDescent="0.6">
      <c r="A133" s="100" t="s">
        <v>136</v>
      </c>
      <c r="B133" s="121">
        <v>1950</v>
      </c>
      <c r="C133" s="101">
        <f t="shared" ref="C133:C141" si="0">B133*1.7</f>
        <v>3315</v>
      </c>
      <c r="D133" s="125">
        <f>SUM(D128:D132)</f>
        <v>2555</v>
      </c>
      <c r="E133" s="126">
        <f>SUM(E128:E131)</f>
        <v>1455</v>
      </c>
      <c r="F133" s="127" t="s">
        <v>137</v>
      </c>
    </row>
    <row r="134" spans="1:9" ht="18" hidden="1" customHeight="1" x14ac:dyDescent="0.5">
      <c r="A134" s="100" t="s">
        <v>138</v>
      </c>
      <c r="B134" s="128">
        <v>2100</v>
      </c>
      <c r="C134" s="101">
        <f t="shared" si="0"/>
        <v>3570</v>
      </c>
      <c r="D134" s="106" t="s">
        <v>139</v>
      </c>
      <c r="E134" s="88" t="s">
        <v>140</v>
      </c>
      <c r="F134" s="89"/>
      <c r="G134" s="90"/>
      <c r="H134" s="90"/>
    </row>
    <row r="135" spans="1:9" ht="18" hidden="1" customHeight="1" thickBot="1" x14ac:dyDescent="0.55000000000000004">
      <c r="A135" s="100" t="s">
        <v>141</v>
      </c>
      <c r="B135" s="128">
        <v>1600</v>
      </c>
      <c r="C135" s="101">
        <f t="shared" si="0"/>
        <v>2720</v>
      </c>
      <c r="D135" s="108"/>
      <c r="E135" s="91"/>
      <c r="F135" s="92"/>
      <c r="G135" s="90"/>
      <c r="H135" s="90"/>
    </row>
    <row r="136" spans="1:9" ht="18" hidden="1" customHeight="1" x14ac:dyDescent="0.5">
      <c r="A136" s="100" t="s">
        <v>142</v>
      </c>
      <c r="B136" s="128">
        <v>2150</v>
      </c>
      <c r="C136" s="101">
        <f t="shared" si="0"/>
        <v>3655</v>
      </c>
      <c r="D136" s="111">
        <v>640</v>
      </c>
      <c r="E136" s="129">
        <v>520</v>
      </c>
      <c r="F136" s="130" t="s">
        <v>129</v>
      </c>
    </row>
    <row r="137" spans="1:9" ht="18" hidden="1" customHeight="1" x14ac:dyDescent="0.5">
      <c r="A137" s="100" t="s">
        <v>143</v>
      </c>
      <c r="B137" s="128">
        <f>D133</f>
        <v>2555</v>
      </c>
      <c r="C137" s="101">
        <f t="shared" si="0"/>
        <v>4343.5</v>
      </c>
      <c r="D137" s="116">
        <v>760</v>
      </c>
      <c r="E137" s="131">
        <v>660</v>
      </c>
      <c r="F137" s="117" t="s">
        <v>131</v>
      </c>
    </row>
    <row r="138" spans="1:9" ht="18" hidden="1" customHeight="1" x14ac:dyDescent="0.5">
      <c r="A138" s="100" t="s">
        <v>144</v>
      </c>
      <c r="B138" s="128">
        <v>2100</v>
      </c>
      <c r="C138" s="101">
        <f t="shared" si="0"/>
        <v>3570</v>
      </c>
      <c r="D138" s="116">
        <v>350</v>
      </c>
      <c r="E138" s="131">
        <v>310</v>
      </c>
      <c r="F138" s="117" t="s">
        <v>132</v>
      </c>
    </row>
    <row r="139" spans="1:9" ht="18" hidden="1" customHeight="1" thickBot="1" x14ac:dyDescent="0.55000000000000004">
      <c r="A139" s="100" t="s">
        <v>145</v>
      </c>
      <c r="B139" s="128">
        <v>2300</v>
      </c>
      <c r="C139" s="101">
        <f t="shared" si="0"/>
        <v>3910</v>
      </c>
      <c r="D139" s="122">
        <v>200</v>
      </c>
      <c r="E139" s="132">
        <v>185</v>
      </c>
      <c r="F139" s="133" t="s">
        <v>134</v>
      </c>
    </row>
    <row r="140" spans="1:9" ht="18" hidden="1" customHeight="1" thickBot="1" x14ac:dyDescent="0.55000000000000004">
      <c r="A140" s="100" t="s">
        <v>146</v>
      </c>
      <c r="B140" s="128">
        <v>1700</v>
      </c>
      <c r="C140" s="101">
        <f t="shared" si="0"/>
        <v>2890</v>
      </c>
      <c r="D140" s="125">
        <f>SUM(D136:D139)</f>
        <v>1950</v>
      </c>
      <c r="E140" s="134">
        <f>SUM(E136:E139)</f>
        <v>1675</v>
      </c>
      <c r="F140" s="135" t="s">
        <v>137</v>
      </c>
    </row>
    <row r="141" spans="1:9" ht="18" hidden="1" customHeight="1" thickBot="1" x14ac:dyDescent="0.55000000000000004">
      <c r="A141" s="136" t="s">
        <v>147</v>
      </c>
      <c r="B141" s="137">
        <v>1900</v>
      </c>
      <c r="C141" s="138">
        <f t="shared" si="0"/>
        <v>3230</v>
      </c>
      <c r="D141" s="139"/>
    </row>
    <row r="142" spans="1:9" ht="16.2" hidden="1" customHeight="1" x14ac:dyDescent="0.5">
      <c r="A142" s="88" t="s">
        <v>148</v>
      </c>
      <c r="B142" s="105"/>
      <c r="C142" s="89"/>
      <c r="D142" s="90"/>
      <c r="E142" s="90"/>
      <c r="I142" s="140"/>
    </row>
    <row r="143" spans="1:9" ht="16.2" hidden="1" customHeight="1" thickBot="1" x14ac:dyDescent="0.55000000000000004">
      <c r="A143" s="91"/>
      <c r="B143" s="107"/>
      <c r="C143" s="92"/>
      <c r="D143" s="90"/>
      <c r="E143" s="90"/>
    </row>
    <row r="144" spans="1:9" ht="15.6" hidden="1" customHeight="1" thickBot="1" x14ac:dyDescent="0.55000000000000004">
      <c r="A144" s="141">
        <v>1</v>
      </c>
      <c r="B144" s="142">
        <v>2</v>
      </c>
      <c r="C144" s="142">
        <v>3</v>
      </c>
      <c r="D144" s="95"/>
    </row>
    <row r="145" spans="1:9" ht="15" hidden="1" customHeight="1" thickBot="1" x14ac:dyDescent="0.55000000000000004">
      <c r="A145" s="96" t="s">
        <v>9</v>
      </c>
      <c r="B145" s="97" t="s">
        <v>10</v>
      </c>
      <c r="C145" s="94" t="s">
        <v>130</v>
      </c>
      <c r="D145" s="47"/>
    </row>
    <row r="146" spans="1:9" ht="16" hidden="1" thickBot="1" x14ac:dyDescent="0.55000000000000004">
      <c r="A146" s="98" t="s">
        <v>149</v>
      </c>
      <c r="B146" s="143">
        <v>3500</v>
      </c>
      <c r="C146" s="144">
        <v>5400</v>
      </c>
      <c r="D146" s="47"/>
      <c r="F146" s="140"/>
      <c r="G146" s="140"/>
      <c r="H146" s="140"/>
      <c r="I146" s="140"/>
    </row>
    <row r="147" spans="1:9" ht="16" hidden="1" thickBot="1" x14ac:dyDescent="0.55000000000000004">
      <c r="A147" s="98" t="s">
        <v>150</v>
      </c>
      <c r="B147" s="145"/>
      <c r="C147" s="146">
        <f>B147*1.7</f>
        <v>0</v>
      </c>
      <c r="D147" s="47"/>
    </row>
    <row r="148" spans="1:9" ht="16" hidden="1" thickBot="1" x14ac:dyDescent="0.55000000000000004">
      <c r="A148" s="98" t="s">
        <v>151</v>
      </c>
      <c r="B148" s="145"/>
      <c r="C148" s="146">
        <f t="shared" ref="C148:C150" si="1">B148*1.7</f>
        <v>0</v>
      </c>
      <c r="D148" s="47"/>
    </row>
    <row r="149" spans="1:9" ht="16" hidden="1" thickBot="1" x14ac:dyDescent="0.55000000000000004">
      <c r="A149" s="98" t="s">
        <v>152</v>
      </c>
      <c r="B149" s="145"/>
      <c r="C149" s="146">
        <f t="shared" si="1"/>
        <v>0</v>
      </c>
      <c r="D149" s="47"/>
    </row>
    <row r="150" spans="1:9" ht="16" hidden="1" thickBot="1" x14ac:dyDescent="0.55000000000000004">
      <c r="A150" s="103" t="s">
        <v>153</v>
      </c>
      <c r="B150" s="128">
        <v>1250</v>
      </c>
      <c r="C150" s="146">
        <f t="shared" si="1"/>
        <v>2125</v>
      </c>
      <c r="D150" s="47"/>
    </row>
    <row r="151" spans="1:9" ht="16" hidden="1" thickBot="1" x14ac:dyDescent="0.55000000000000004">
      <c r="A151" s="136" t="s">
        <v>154</v>
      </c>
      <c r="B151" s="137">
        <v>0</v>
      </c>
      <c r="C151" s="147">
        <v>0</v>
      </c>
      <c r="D151" s="47"/>
    </row>
    <row r="152" spans="1:9" ht="15.6" hidden="1" customHeight="1" x14ac:dyDescent="0.5">
      <c r="A152" s="88" t="s">
        <v>155</v>
      </c>
      <c r="B152" s="105"/>
      <c r="C152" s="89"/>
      <c r="D152" s="47"/>
      <c r="E152" s="47"/>
      <c r="F152" s="148"/>
      <c r="G152" s="148"/>
      <c r="H152" s="148"/>
      <c r="I152" s="148"/>
    </row>
    <row r="153" spans="1:9" ht="15" hidden="1" customHeight="1" thickBot="1" x14ac:dyDescent="0.55000000000000004">
      <c r="A153" s="91"/>
      <c r="B153" s="107"/>
      <c r="C153" s="92"/>
      <c r="D153" s="47"/>
      <c r="E153" s="47"/>
      <c r="F153" s="140"/>
      <c r="G153" s="140"/>
      <c r="H153" s="140"/>
      <c r="I153" s="140"/>
    </row>
    <row r="154" spans="1:9" ht="19.95" hidden="1" customHeight="1" thickBot="1" x14ac:dyDescent="0.55000000000000004">
      <c r="A154" s="109">
        <v>1</v>
      </c>
      <c r="B154" s="149">
        <v>2</v>
      </c>
      <c r="C154" s="150">
        <v>3</v>
      </c>
      <c r="D154" s="95"/>
    </row>
    <row r="155" spans="1:9" ht="19.95" hidden="1" customHeight="1" thickBot="1" x14ac:dyDescent="0.55000000000000004">
      <c r="A155" s="96" t="s">
        <v>9</v>
      </c>
      <c r="B155" s="96" t="s">
        <v>10</v>
      </c>
      <c r="C155" s="97" t="s">
        <v>130</v>
      </c>
      <c r="D155" s="47"/>
    </row>
    <row r="156" spans="1:9" ht="18" hidden="1" customHeight="1" x14ac:dyDescent="0.5">
      <c r="A156" s="118" t="s">
        <v>14</v>
      </c>
      <c r="B156" s="151">
        <v>0</v>
      </c>
      <c r="C156" s="120">
        <v>0</v>
      </c>
      <c r="D156" s="47"/>
    </row>
    <row r="157" spans="1:9" ht="18" hidden="1" customHeight="1" x14ac:dyDescent="0.5">
      <c r="A157" s="100" t="s">
        <v>156</v>
      </c>
      <c r="B157" s="152">
        <v>300</v>
      </c>
      <c r="C157" s="99">
        <v>700</v>
      </c>
      <c r="D157" s="47"/>
    </row>
    <row r="158" spans="1:9" ht="18" hidden="1" customHeight="1" x14ac:dyDescent="0.5">
      <c r="A158" s="100" t="s">
        <v>157</v>
      </c>
      <c r="B158" s="152">
        <v>400</v>
      </c>
      <c r="C158" s="99">
        <v>800</v>
      </c>
      <c r="D158" s="47"/>
    </row>
    <row r="159" spans="1:9" ht="18" hidden="1" customHeight="1" x14ac:dyDescent="0.5">
      <c r="A159" s="100" t="s">
        <v>158</v>
      </c>
      <c r="B159" s="152">
        <v>275</v>
      </c>
      <c r="C159" s="99">
        <v>700</v>
      </c>
      <c r="D159" s="47"/>
      <c r="F159" s="153"/>
      <c r="G159" s="153"/>
      <c r="H159" s="153"/>
    </row>
    <row r="160" spans="1:9" ht="18" hidden="1" customHeight="1" x14ac:dyDescent="0.5">
      <c r="A160" s="100" t="s">
        <v>159</v>
      </c>
      <c r="B160" s="152">
        <v>400</v>
      </c>
      <c r="C160" s="99">
        <v>800</v>
      </c>
      <c r="D160" s="47"/>
      <c r="F160" s="153"/>
      <c r="G160" s="153"/>
      <c r="H160" s="153"/>
      <c r="I160" s="140"/>
    </row>
    <row r="161" spans="1:9" ht="18" hidden="1" customHeight="1" x14ac:dyDescent="0.5">
      <c r="A161" s="100" t="s">
        <v>160</v>
      </c>
      <c r="B161" s="152"/>
      <c r="C161" s="99"/>
      <c r="D161" s="47"/>
    </row>
    <row r="162" spans="1:9" ht="18" hidden="1" customHeight="1" x14ac:dyDescent="0.5">
      <c r="A162" s="100" t="s">
        <v>161</v>
      </c>
      <c r="B162" s="152">
        <v>450</v>
      </c>
      <c r="C162" s="99">
        <v>850</v>
      </c>
      <c r="D162" s="47"/>
    </row>
    <row r="163" spans="1:9" ht="18" hidden="1" customHeight="1" x14ac:dyDescent="0.5">
      <c r="A163" s="100" t="s">
        <v>162</v>
      </c>
      <c r="B163" s="152">
        <v>600</v>
      </c>
      <c r="C163" s="99">
        <v>1000</v>
      </c>
      <c r="D163" s="47"/>
    </row>
    <row r="164" spans="1:9" ht="18" hidden="1" customHeight="1" x14ac:dyDescent="0.5">
      <c r="A164" s="100" t="s">
        <v>163</v>
      </c>
      <c r="B164" s="152"/>
      <c r="C164" s="99">
        <f t="shared" ref="C164:C170" si="2">B164*1.7</f>
        <v>0</v>
      </c>
      <c r="D164" s="47"/>
    </row>
    <row r="165" spans="1:9" ht="18" hidden="1" customHeight="1" x14ac:dyDescent="0.5">
      <c r="A165" s="100" t="s">
        <v>164</v>
      </c>
      <c r="B165" s="152"/>
      <c r="C165" s="99">
        <f t="shared" si="2"/>
        <v>0</v>
      </c>
      <c r="D165" s="47"/>
    </row>
    <row r="166" spans="1:9" ht="18" hidden="1" customHeight="1" x14ac:dyDescent="0.5">
      <c r="A166" s="100" t="s">
        <v>165</v>
      </c>
      <c r="B166" s="152"/>
      <c r="C166" s="99">
        <f t="shared" si="2"/>
        <v>0</v>
      </c>
      <c r="D166" s="47"/>
      <c r="F166" s="148"/>
      <c r="G166" s="148"/>
      <c r="H166" s="148"/>
      <c r="I166" s="148"/>
    </row>
    <row r="167" spans="1:9" ht="18" hidden="1" customHeight="1" x14ac:dyDescent="0.5">
      <c r="A167" s="100" t="s">
        <v>166</v>
      </c>
      <c r="B167" s="152"/>
      <c r="C167" s="99">
        <f t="shared" si="2"/>
        <v>0</v>
      </c>
      <c r="D167" s="47"/>
    </row>
    <row r="168" spans="1:9" ht="18" hidden="1" customHeight="1" x14ac:dyDescent="0.5">
      <c r="A168" s="100" t="s">
        <v>167</v>
      </c>
      <c r="B168" s="152"/>
      <c r="C168" s="99">
        <f t="shared" si="2"/>
        <v>0</v>
      </c>
      <c r="D168" s="47"/>
    </row>
    <row r="169" spans="1:9" ht="18" hidden="1" customHeight="1" x14ac:dyDescent="0.5">
      <c r="A169" s="100" t="s">
        <v>168</v>
      </c>
      <c r="B169" s="152">
        <v>110</v>
      </c>
      <c r="C169" s="99">
        <f t="shared" si="2"/>
        <v>187</v>
      </c>
      <c r="D169" s="47"/>
    </row>
    <row r="170" spans="1:9" ht="18" hidden="1" customHeight="1" thickBot="1" x14ac:dyDescent="0.55000000000000004">
      <c r="A170" s="136" t="s">
        <v>169</v>
      </c>
      <c r="B170" s="154">
        <v>80</v>
      </c>
      <c r="C170" s="155">
        <f t="shared" si="2"/>
        <v>136</v>
      </c>
      <c r="D170" s="47"/>
    </row>
    <row r="171" spans="1:9" ht="30.6" customHeight="1" thickBot="1" x14ac:dyDescent="0.55000000000000004">
      <c r="A171" s="156" t="s">
        <v>155</v>
      </c>
      <c r="B171" s="157"/>
      <c r="C171" s="47"/>
      <c r="D171" s="47"/>
    </row>
    <row r="172" spans="1:9" ht="18" customHeight="1" x14ac:dyDescent="0.5">
      <c r="A172" s="158" t="s">
        <v>14</v>
      </c>
      <c r="B172" s="159">
        <v>0</v>
      </c>
      <c r="C172" s="47"/>
      <c r="D172" s="47"/>
      <c r="E172" s="47"/>
    </row>
    <row r="173" spans="1:9" ht="18" customHeight="1" x14ac:dyDescent="0.5">
      <c r="A173" s="160" t="s">
        <v>170</v>
      </c>
      <c r="B173" s="161">
        <v>250</v>
      </c>
      <c r="C173" s="47"/>
      <c r="D173" s="47"/>
      <c r="E173" s="47"/>
    </row>
    <row r="174" spans="1:9" ht="18" customHeight="1" x14ac:dyDescent="0.5">
      <c r="A174" s="160" t="s">
        <v>171</v>
      </c>
      <c r="B174" s="161">
        <v>275</v>
      </c>
      <c r="C174" s="47"/>
      <c r="D174" s="47"/>
      <c r="E174" s="47"/>
    </row>
    <row r="175" spans="1:9" ht="18" customHeight="1" x14ac:dyDescent="0.5">
      <c r="A175" s="160" t="s">
        <v>172</v>
      </c>
      <c r="B175" s="161">
        <v>0</v>
      </c>
      <c r="C175" s="47"/>
      <c r="D175" s="47"/>
      <c r="E175" s="47"/>
    </row>
    <row r="176" spans="1:9" ht="18" customHeight="1" x14ac:dyDescent="0.5">
      <c r="A176" s="160" t="s">
        <v>173</v>
      </c>
      <c r="B176" s="161">
        <v>120</v>
      </c>
      <c r="C176" s="47"/>
      <c r="D176" s="47"/>
      <c r="E176" s="47"/>
    </row>
    <row r="177" spans="1:5" ht="18" customHeight="1" x14ac:dyDescent="0.5">
      <c r="A177" s="160" t="s">
        <v>174</v>
      </c>
      <c r="B177" s="161">
        <v>140</v>
      </c>
      <c r="C177" s="47"/>
      <c r="D177" s="47"/>
      <c r="E177" s="47"/>
    </row>
    <row r="178" spans="1:5" ht="18" customHeight="1" x14ac:dyDescent="0.5">
      <c r="A178" s="160" t="s">
        <v>175</v>
      </c>
      <c r="B178" s="161">
        <v>220</v>
      </c>
      <c r="C178" s="47"/>
      <c r="D178" s="47"/>
      <c r="E178" s="47"/>
    </row>
    <row r="179" spans="1:5" ht="18" customHeight="1" x14ac:dyDescent="0.5">
      <c r="A179" s="160" t="s">
        <v>176</v>
      </c>
      <c r="B179" s="161">
        <v>200</v>
      </c>
      <c r="C179" s="47"/>
      <c r="D179" s="47"/>
      <c r="E179" s="47"/>
    </row>
    <row r="180" spans="1:5" ht="18" customHeight="1" x14ac:dyDescent="0.5">
      <c r="A180" s="160" t="s">
        <v>177</v>
      </c>
      <c r="B180" s="161">
        <v>430</v>
      </c>
      <c r="C180" s="47"/>
      <c r="D180" s="47"/>
      <c r="E180" s="47"/>
    </row>
    <row r="181" spans="1:5" ht="18" customHeight="1" x14ac:dyDescent="0.5">
      <c r="A181" s="160" t="s">
        <v>178</v>
      </c>
      <c r="B181" s="161">
        <v>480</v>
      </c>
      <c r="C181" s="47"/>
      <c r="D181" s="47"/>
      <c r="E181" s="47"/>
    </row>
    <row r="182" spans="1:5" ht="18" customHeight="1" x14ac:dyDescent="0.5">
      <c r="A182" s="160" t="s">
        <v>168</v>
      </c>
      <c r="B182" s="161">
        <v>165</v>
      </c>
      <c r="C182" s="47"/>
      <c r="D182" s="47"/>
      <c r="E182" s="47"/>
    </row>
    <row r="183" spans="1:5" ht="18" customHeight="1" thickBot="1" x14ac:dyDescent="0.55000000000000004">
      <c r="A183" s="162" t="s">
        <v>169</v>
      </c>
      <c r="B183" s="163">
        <v>90</v>
      </c>
      <c r="C183" s="47"/>
      <c r="D183" s="47"/>
      <c r="E183" s="47"/>
    </row>
    <row r="184" spans="1:5" ht="29.25" customHeight="1" thickBot="1" x14ac:dyDescent="0.55000000000000004">
      <c r="A184" s="156" t="s">
        <v>179</v>
      </c>
      <c r="B184" s="157"/>
      <c r="C184" s="90"/>
      <c r="D184" s="90"/>
    </row>
    <row r="185" spans="1:5" ht="19.95" customHeight="1" thickBot="1" x14ac:dyDescent="0.55000000000000004">
      <c r="A185" s="164">
        <v>1</v>
      </c>
      <c r="B185" s="165">
        <v>2</v>
      </c>
      <c r="C185" s="95"/>
      <c r="D185" s="95"/>
    </row>
    <row r="186" spans="1:5" ht="29.25" customHeight="1" thickBot="1" x14ac:dyDescent="0.55000000000000004">
      <c r="A186" s="166" t="s">
        <v>9</v>
      </c>
      <c r="B186" s="167" t="s">
        <v>10</v>
      </c>
      <c r="C186" s="47"/>
      <c r="D186" s="47"/>
    </row>
    <row r="187" spans="1:5" ht="19.95" customHeight="1" x14ac:dyDescent="0.5">
      <c r="A187" s="168" t="s">
        <v>14</v>
      </c>
      <c r="B187" s="159">
        <v>0</v>
      </c>
      <c r="C187" s="47"/>
      <c r="D187" s="47"/>
    </row>
    <row r="188" spans="1:5" ht="19.95" customHeight="1" x14ac:dyDescent="0.5">
      <c r="A188" s="169" t="s">
        <v>180</v>
      </c>
      <c r="B188" s="161">
        <v>48</v>
      </c>
      <c r="C188" s="47"/>
      <c r="D188" s="47"/>
    </row>
    <row r="189" spans="1:5" ht="19.95" customHeight="1" x14ac:dyDescent="0.5">
      <c r="A189" s="169" t="s">
        <v>181</v>
      </c>
      <c r="B189" s="161">
        <v>0</v>
      </c>
      <c r="C189" s="47"/>
      <c r="D189" s="47"/>
    </row>
    <row r="190" spans="1:5" ht="19.95" customHeight="1" x14ac:dyDescent="0.5">
      <c r="A190" s="169" t="s">
        <v>182</v>
      </c>
      <c r="B190" s="161">
        <v>80</v>
      </c>
      <c r="C190" s="47"/>
      <c r="D190" s="47"/>
    </row>
    <row r="191" spans="1:5" ht="19.95" customHeight="1" x14ac:dyDescent="0.5">
      <c r="A191" s="169" t="s">
        <v>183</v>
      </c>
      <c r="B191" s="161">
        <v>66</v>
      </c>
      <c r="C191" s="47"/>
      <c r="D191" s="47"/>
    </row>
    <row r="192" spans="1:5" ht="19.95" customHeight="1" x14ac:dyDescent="0.5">
      <c r="A192" s="169" t="s">
        <v>184</v>
      </c>
      <c r="B192" s="161">
        <v>0</v>
      </c>
      <c r="C192" s="47"/>
      <c r="D192" s="47"/>
    </row>
    <row r="193" spans="1:8" ht="19.95" customHeight="1" x14ac:dyDescent="0.5">
      <c r="A193" s="169" t="s">
        <v>185</v>
      </c>
      <c r="B193" s="161">
        <v>88</v>
      </c>
      <c r="C193" s="47"/>
      <c r="D193" s="47"/>
      <c r="F193" s="47"/>
      <c r="G193" s="47"/>
      <c r="H193" s="47"/>
    </row>
    <row r="194" spans="1:8" ht="19.95" customHeight="1" thickBot="1" x14ac:dyDescent="0.55000000000000004">
      <c r="A194" s="170" t="s">
        <v>186</v>
      </c>
      <c r="B194" s="163">
        <v>285</v>
      </c>
      <c r="C194" s="47"/>
      <c r="D194" s="47"/>
      <c r="F194" s="47"/>
      <c r="G194" s="47"/>
      <c r="H194" s="47"/>
    </row>
    <row r="195" spans="1:8" ht="35.450000000000003" customHeight="1" thickBot="1" x14ac:dyDescent="0.55000000000000004">
      <c r="A195" s="156" t="s">
        <v>187</v>
      </c>
      <c r="B195" s="157"/>
      <c r="C195" s="90"/>
      <c r="D195" s="90"/>
    </row>
    <row r="196" spans="1:8" ht="21.6" customHeight="1" thickBot="1" x14ac:dyDescent="0.55000000000000004">
      <c r="A196" s="164">
        <v>1</v>
      </c>
      <c r="B196" s="165">
        <v>2</v>
      </c>
      <c r="C196" s="95"/>
      <c r="D196" s="95"/>
    </row>
    <row r="197" spans="1:8" ht="35.450000000000003" customHeight="1" thickBot="1" x14ac:dyDescent="0.55000000000000004">
      <c r="A197" s="166" t="s">
        <v>9</v>
      </c>
      <c r="B197" s="167" t="s">
        <v>10</v>
      </c>
      <c r="C197" s="47"/>
      <c r="D197" s="47"/>
    </row>
    <row r="198" spans="1:8" ht="21" customHeight="1" x14ac:dyDescent="0.5">
      <c r="A198" s="171" t="s">
        <v>14</v>
      </c>
      <c r="B198" s="172">
        <v>0</v>
      </c>
      <c r="C198" s="47"/>
      <c r="D198" s="47"/>
    </row>
    <row r="199" spans="1:8" ht="15.7" x14ac:dyDescent="0.5">
      <c r="A199" s="160" t="s">
        <v>188</v>
      </c>
      <c r="B199" s="161">
        <v>290</v>
      </c>
      <c r="C199" s="47"/>
      <c r="D199" s="47"/>
    </row>
    <row r="200" spans="1:8" ht="15.7" x14ac:dyDescent="0.5">
      <c r="A200" s="160" t="s">
        <v>189</v>
      </c>
      <c r="B200" s="161">
        <v>190</v>
      </c>
      <c r="C200" s="47"/>
      <c r="D200" s="47"/>
    </row>
    <row r="201" spans="1:8" ht="15.7" x14ac:dyDescent="0.5">
      <c r="A201" s="160" t="s">
        <v>190</v>
      </c>
      <c r="B201" s="161">
        <v>320</v>
      </c>
      <c r="C201" s="47"/>
      <c r="D201" s="47"/>
    </row>
    <row r="202" spans="1:8" ht="15.7" x14ac:dyDescent="0.5">
      <c r="A202" s="160" t="s">
        <v>191</v>
      </c>
      <c r="B202" s="161">
        <v>320</v>
      </c>
      <c r="C202" s="47"/>
      <c r="D202" s="47"/>
    </row>
    <row r="203" spans="1:8" ht="15.7" x14ac:dyDescent="0.5">
      <c r="A203" s="160" t="s">
        <v>192</v>
      </c>
      <c r="B203" s="161">
        <v>350</v>
      </c>
      <c r="C203" s="47"/>
      <c r="D203" s="47"/>
    </row>
    <row r="204" spans="1:8" ht="15.7" x14ac:dyDescent="0.5">
      <c r="A204" s="160" t="s">
        <v>193</v>
      </c>
      <c r="B204" s="161">
        <v>260</v>
      </c>
      <c r="C204" s="47"/>
      <c r="D204" s="47"/>
    </row>
    <row r="205" spans="1:8" ht="15.7" x14ac:dyDescent="0.5">
      <c r="A205" s="160" t="s">
        <v>194</v>
      </c>
      <c r="B205" s="161">
        <v>380</v>
      </c>
      <c r="C205" s="47"/>
      <c r="D205" s="47"/>
    </row>
    <row r="206" spans="1:8" ht="15.7" x14ac:dyDescent="0.5">
      <c r="A206" s="160" t="s">
        <v>195</v>
      </c>
      <c r="B206" s="161">
        <v>290</v>
      </c>
      <c r="C206" s="47"/>
      <c r="D206" s="47"/>
    </row>
    <row r="207" spans="1:8" ht="15.7" x14ac:dyDescent="0.5">
      <c r="A207" s="160" t="s">
        <v>196</v>
      </c>
      <c r="B207" s="161">
        <v>2300</v>
      </c>
      <c r="C207" s="47"/>
      <c r="D207" s="47"/>
    </row>
    <row r="208" spans="1:8" ht="15.7" x14ac:dyDescent="0.5">
      <c r="A208" s="160" t="s">
        <v>197</v>
      </c>
      <c r="B208" s="161">
        <v>2100</v>
      </c>
      <c r="C208" s="47"/>
      <c r="D208" s="47"/>
    </row>
    <row r="209" spans="1:4" ht="15.7" x14ac:dyDescent="0.5">
      <c r="A209" s="160" t="s">
        <v>145</v>
      </c>
      <c r="B209" s="161">
        <v>2500</v>
      </c>
      <c r="C209" s="47"/>
      <c r="D209" s="47"/>
    </row>
    <row r="210" spans="1:4" ht="15.7" x14ac:dyDescent="0.5">
      <c r="A210" s="160" t="s">
        <v>146</v>
      </c>
      <c r="B210" s="161">
        <v>1900</v>
      </c>
      <c r="C210" s="47"/>
      <c r="D210" s="47"/>
    </row>
    <row r="211" spans="1:4" ht="15.7" x14ac:dyDescent="0.5">
      <c r="A211" s="160" t="s">
        <v>147</v>
      </c>
      <c r="B211" s="161">
        <v>2100</v>
      </c>
      <c r="C211" s="47"/>
      <c r="D211" s="47"/>
    </row>
    <row r="212" spans="1:4" ht="15.7" x14ac:dyDescent="0.5">
      <c r="A212" s="160" t="s">
        <v>198</v>
      </c>
      <c r="B212" s="161">
        <v>1900</v>
      </c>
      <c r="C212" s="47"/>
      <c r="D212" s="47"/>
    </row>
    <row r="213" spans="1:4" ht="16" thickBot="1" x14ac:dyDescent="0.55000000000000004">
      <c r="A213" s="162" t="s">
        <v>199</v>
      </c>
      <c r="B213" s="163">
        <v>2100</v>
      </c>
      <c r="C213" s="47"/>
      <c r="D213" s="47"/>
    </row>
    <row r="214" spans="1:4" ht="30.6" customHeight="1" thickBot="1" x14ac:dyDescent="0.55000000000000004">
      <c r="A214" s="156" t="s">
        <v>200</v>
      </c>
      <c r="B214" s="157"/>
      <c r="C214" s="90"/>
      <c r="D214" s="90"/>
    </row>
    <row r="215" spans="1:4" ht="21.6" customHeight="1" thickBot="1" x14ac:dyDescent="0.55000000000000004">
      <c r="A215" s="173">
        <v>1</v>
      </c>
      <c r="B215" s="174">
        <v>2</v>
      </c>
      <c r="C215" s="95"/>
      <c r="D215" s="95"/>
    </row>
    <row r="216" spans="1:4" ht="30.6" customHeight="1" thickBot="1" x14ac:dyDescent="0.55000000000000004">
      <c r="A216" s="166" t="s">
        <v>9</v>
      </c>
      <c r="B216" s="167" t="s">
        <v>10</v>
      </c>
      <c r="C216" s="47"/>
      <c r="D216" s="47"/>
    </row>
    <row r="217" spans="1:4" ht="15.7" x14ac:dyDescent="0.5">
      <c r="A217" s="158" t="s">
        <v>14</v>
      </c>
      <c r="B217" s="159">
        <v>0</v>
      </c>
      <c r="C217" s="47"/>
      <c r="D217" s="47"/>
    </row>
    <row r="218" spans="1:4" ht="15.7" x14ac:dyDescent="0.5">
      <c r="A218" s="160" t="s">
        <v>201</v>
      </c>
      <c r="B218" s="161">
        <v>65</v>
      </c>
      <c r="C218" s="47"/>
      <c r="D218" s="47"/>
    </row>
    <row r="219" spans="1:4" ht="15.7" x14ac:dyDescent="0.5">
      <c r="A219" s="160" t="s">
        <v>202</v>
      </c>
      <c r="B219" s="161">
        <v>70</v>
      </c>
      <c r="C219" s="47"/>
      <c r="D219" s="47"/>
    </row>
    <row r="220" spans="1:4" ht="15.7" x14ac:dyDescent="0.5">
      <c r="A220" s="160" t="s">
        <v>203</v>
      </c>
      <c r="B220" s="161">
        <v>150</v>
      </c>
      <c r="C220" s="47"/>
      <c r="D220" s="47"/>
    </row>
    <row r="221" spans="1:4" ht="16" thickBot="1" x14ac:dyDescent="0.55000000000000004">
      <c r="A221" s="162" t="s">
        <v>204</v>
      </c>
      <c r="B221" s="163">
        <v>45</v>
      </c>
      <c r="C221" s="47"/>
      <c r="D221" s="47"/>
    </row>
    <row r="222" spans="1:4" ht="30" customHeight="1" thickBot="1" x14ac:dyDescent="0.55000000000000004">
      <c r="A222" s="175" t="s">
        <v>205</v>
      </c>
      <c r="B222" s="176"/>
      <c r="C222" s="90"/>
      <c r="D222" s="90"/>
    </row>
    <row r="223" spans="1:4" ht="20.45" customHeight="1" thickBot="1" x14ac:dyDescent="0.55000000000000004">
      <c r="A223" s="177">
        <v>1</v>
      </c>
      <c r="B223" s="178">
        <v>2</v>
      </c>
      <c r="C223" s="95"/>
      <c r="D223" s="95"/>
    </row>
    <row r="224" spans="1:4" ht="30" customHeight="1" thickBot="1" x14ac:dyDescent="0.55000000000000004">
      <c r="A224" s="179" t="s">
        <v>9</v>
      </c>
      <c r="B224" s="180" t="s">
        <v>10</v>
      </c>
      <c r="C224" s="47"/>
      <c r="D224" s="47"/>
    </row>
    <row r="225" spans="1:4" ht="15.7" x14ac:dyDescent="0.5">
      <c r="A225" s="171" t="s">
        <v>206</v>
      </c>
      <c r="B225" s="172">
        <v>0</v>
      </c>
      <c r="C225" s="47"/>
      <c r="D225" s="47"/>
    </row>
    <row r="226" spans="1:4" ht="15.7" x14ac:dyDescent="0.5">
      <c r="A226" s="158" t="s">
        <v>207</v>
      </c>
      <c r="B226" s="159">
        <f>'[1](1)'!H11</f>
        <v>55</v>
      </c>
      <c r="C226" s="47"/>
      <c r="D226" s="47"/>
    </row>
    <row r="227" spans="1:4" ht="15.7" x14ac:dyDescent="0.5">
      <c r="A227" s="160" t="s">
        <v>208</v>
      </c>
      <c r="B227" s="161">
        <v>150</v>
      </c>
      <c r="C227" s="47"/>
      <c r="D227" s="47"/>
    </row>
    <row r="228" spans="1:4" ht="16" thickBot="1" x14ac:dyDescent="0.55000000000000004">
      <c r="A228" s="162" t="s">
        <v>209</v>
      </c>
      <c r="B228" s="163">
        <v>175</v>
      </c>
      <c r="C228" s="47"/>
      <c r="D228" s="47"/>
    </row>
    <row r="229" spans="1:4" ht="31.2" customHeight="1" thickBot="1" x14ac:dyDescent="0.55000000000000004">
      <c r="A229" s="156" t="s">
        <v>210</v>
      </c>
      <c r="B229" s="157"/>
      <c r="C229" s="90"/>
      <c r="D229" s="90"/>
    </row>
    <row r="230" spans="1:4" ht="31.2" customHeight="1" thickBot="1" x14ac:dyDescent="0.55000000000000004">
      <c r="A230" s="181" t="s">
        <v>9</v>
      </c>
      <c r="B230" s="182" t="s">
        <v>10</v>
      </c>
      <c r="C230" s="47"/>
      <c r="D230" s="47"/>
    </row>
    <row r="231" spans="1:4" ht="17.45" customHeight="1" x14ac:dyDescent="0.5">
      <c r="A231" s="183">
        <v>1</v>
      </c>
      <c r="B231" s="184">
        <v>2</v>
      </c>
      <c r="C231" s="95"/>
      <c r="D231" s="95"/>
    </row>
    <row r="232" spans="1:4" ht="17.25" customHeight="1" x14ac:dyDescent="0.5">
      <c r="A232" s="160" t="s">
        <v>14</v>
      </c>
      <c r="B232" s="161">
        <v>0</v>
      </c>
      <c r="C232" s="47"/>
      <c r="D232" s="47"/>
    </row>
    <row r="233" spans="1:4" ht="17.25" customHeight="1" x14ac:dyDescent="0.5">
      <c r="A233" s="160" t="s">
        <v>211</v>
      </c>
      <c r="B233" s="161">
        <v>85</v>
      </c>
      <c r="C233" s="47"/>
      <c r="D233" s="47"/>
    </row>
    <row r="234" spans="1:4" ht="15.7" x14ac:dyDescent="0.5">
      <c r="A234" s="160" t="s">
        <v>212</v>
      </c>
      <c r="B234" s="161">
        <v>125</v>
      </c>
      <c r="C234" s="47"/>
      <c r="D234" s="47"/>
    </row>
    <row r="235" spans="1:4" ht="16" thickBot="1" x14ac:dyDescent="0.55000000000000004">
      <c r="A235" s="162" t="s">
        <v>213</v>
      </c>
      <c r="B235" s="163">
        <v>215</v>
      </c>
      <c r="C235" s="47"/>
      <c r="D235" s="47"/>
    </row>
    <row r="236" spans="1:4" ht="15.7" x14ac:dyDescent="0.5">
      <c r="A236" s="185" t="s">
        <v>214</v>
      </c>
      <c r="B236" s="186"/>
      <c r="C236" s="47"/>
      <c r="D236" s="47"/>
    </row>
    <row r="237" spans="1:4" ht="16" thickBot="1" x14ac:dyDescent="0.55000000000000004">
      <c r="A237" s="175"/>
      <c r="B237" s="176"/>
      <c r="C237" s="47"/>
      <c r="D237" s="47"/>
    </row>
    <row r="238" spans="1:4" ht="15.7" x14ac:dyDescent="0.5">
      <c r="A238" s="183">
        <v>1</v>
      </c>
      <c r="B238" s="184">
        <v>2</v>
      </c>
      <c r="C238" s="47"/>
      <c r="D238" s="47"/>
    </row>
    <row r="239" spans="1:4" ht="15.7" x14ac:dyDescent="0.5">
      <c r="A239" s="160" t="s">
        <v>14</v>
      </c>
      <c r="B239" s="161">
        <v>0</v>
      </c>
      <c r="C239" s="47"/>
      <c r="D239" s="47"/>
    </row>
    <row r="240" spans="1:4" ht="15.7" x14ac:dyDescent="0.5">
      <c r="A240" s="160" t="s">
        <v>215</v>
      </c>
      <c r="B240" s="161">
        <v>100</v>
      </c>
      <c r="C240" s="47"/>
      <c r="D240" s="47"/>
    </row>
    <row r="241" spans="1:9" ht="15.7" x14ac:dyDescent="0.5">
      <c r="A241" s="160" t="s">
        <v>216</v>
      </c>
      <c r="B241" s="161">
        <v>150</v>
      </c>
      <c r="C241" s="47"/>
      <c r="D241" s="47"/>
    </row>
    <row r="242" spans="1:9" ht="16" thickBot="1" x14ac:dyDescent="0.55000000000000004">
      <c r="A242" s="162" t="s">
        <v>217</v>
      </c>
      <c r="B242" s="163">
        <v>280</v>
      </c>
      <c r="C242" s="47"/>
      <c r="D242" s="47"/>
    </row>
    <row r="243" spans="1:9" ht="29.45" customHeight="1" thickBot="1" x14ac:dyDescent="0.55000000000000004">
      <c r="A243" s="156" t="s">
        <v>218</v>
      </c>
      <c r="B243" s="157"/>
      <c r="C243" s="90"/>
      <c r="D243" s="90"/>
    </row>
    <row r="244" spans="1:9" ht="16.95" customHeight="1" thickBot="1" x14ac:dyDescent="0.55000000000000004">
      <c r="A244" s="187">
        <v>1</v>
      </c>
      <c r="B244" s="188">
        <v>2</v>
      </c>
      <c r="C244" s="95"/>
      <c r="D244" s="95"/>
    </row>
    <row r="245" spans="1:9" ht="20.45" customHeight="1" x14ac:dyDescent="0.5">
      <c r="A245" s="171" t="s">
        <v>9</v>
      </c>
      <c r="B245" s="172" t="s">
        <v>10</v>
      </c>
      <c r="C245" s="47"/>
      <c r="D245" s="47"/>
    </row>
    <row r="246" spans="1:9" ht="16.2" customHeight="1" x14ac:dyDescent="0.5">
      <c r="A246" s="160" t="s">
        <v>14</v>
      </c>
      <c r="B246" s="161">
        <v>0</v>
      </c>
      <c r="C246" s="47"/>
      <c r="D246" s="47"/>
    </row>
    <row r="247" spans="1:9" ht="15.7" x14ac:dyDescent="0.5">
      <c r="A247" s="160" t="s">
        <v>219</v>
      </c>
      <c r="B247" s="161">
        <v>660</v>
      </c>
      <c r="C247" s="47"/>
      <c r="D247" s="47"/>
    </row>
    <row r="248" spans="1:9" ht="15.7" x14ac:dyDescent="0.5">
      <c r="A248" s="160" t="s">
        <v>220</v>
      </c>
      <c r="B248" s="161">
        <v>360</v>
      </c>
      <c r="C248" s="47"/>
      <c r="D248" s="47"/>
    </row>
    <row r="249" spans="1:9" ht="15.7" x14ac:dyDescent="0.5">
      <c r="A249" s="160" t="s">
        <v>221</v>
      </c>
      <c r="B249" s="161"/>
      <c r="C249" s="47"/>
      <c r="D249" s="47"/>
    </row>
    <row r="250" spans="1:9" ht="15.7" x14ac:dyDescent="0.5">
      <c r="A250" s="160" t="s">
        <v>222</v>
      </c>
      <c r="B250" s="161">
        <v>700</v>
      </c>
      <c r="C250" s="47"/>
      <c r="D250" s="47"/>
    </row>
    <row r="251" spans="1:9" ht="15.7" x14ac:dyDescent="0.5">
      <c r="A251" s="160" t="s">
        <v>223</v>
      </c>
      <c r="B251" s="161">
        <v>410</v>
      </c>
      <c r="C251" s="47"/>
      <c r="D251" s="47"/>
    </row>
    <row r="252" spans="1:9" ht="15.7" x14ac:dyDescent="0.5">
      <c r="A252" s="160" t="s">
        <v>224</v>
      </c>
      <c r="B252" s="161"/>
      <c r="C252" s="47"/>
      <c r="D252" s="47"/>
    </row>
    <row r="253" spans="1:9" ht="15.7" x14ac:dyDescent="0.5">
      <c r="A253" s="160" t="s">
        <v>225</v>
      </c>
      <c r="B253" s="161">
        <v>1100</v>
      </c>
      <c r="C253" s="47"/>
      <c r="D253" s="47"/>
    </row>
    <row r="254" spans="1:9" ht="21.6" customHeight="1" x14ac:dyDescent="0.5">
      <c r="A254" s="189" t="s">
        <v>226</v>
      </c>
      <c r="B254" s="190" t="s">
        <v>227</v>
      </c>
      <c r="C254" s="190" t="s">
        <v>228</v>
      </c>
      <c r="D254" s="190" t="s">
        <v>229</v>
      </c>
      <c r="E254" s="190" t="s">
        <v>230</v>
      </c>
      <c r="G254" s="95"/>
      <c r="H254" s="95"/>
      <c r="I254" s="191"/>
    </row>
    <row r="255" spans="1:9" ht="21.6" customHeight="1" x14ac:dyDescent="0.5">
      <c r="A255" s="190">
        <v>1</v>
      </c>
      <c r="B255" s="190">
        <v>2</v>
      </c>
      <c r="C255" s="190">
        <v>3</v>
      </c>
      <c r="D255" s="190">
        <v>4</v>
      </c>
      <c r="E255" s="190">
        <v>5</v>
      </c>
      <c r="G255" s="95"/>
      <c r="H255" s="90"/>
      <c r="I255" s="90"/>
    </row>
    <row r="256" spans="1:9" ht="21.6" customHeight="1" x14ac:dyDescent="0.5">
      <c r="A256" s="190" t="s">
        <v>231</v>
      </c>
      <c r="B256" s="190">
        <v>0</v>
      </c>
      <c r="C256" s="190">
        <v>0</v>
      </c>
      <c r="D256" s="190">
        <v>0</v>
      </c>
      <c r="E256" s="190">
        <v>7</v>
      </c>
      <c r="G256" s="95"/>
      <c r="H256" s="192"/>
      <c r="I256" s="90"/>
    </row>
    <row r="257" spans="1:13" ht="21.6" customHeight="1" x14ac:dyDescent="0.5">
      <c r="A257" s="190" t="s">
        <v>232</v>
      </c>
      <c r="B257" s="190">
        <f>'[1]Showers table'!B8+'[1]Showers table'!C8</f>
        <v>2.6</v>
      </c>
      <c r="C257" s="190">
        <v>0</v>
      </c>
      <c r="D257" s="190">
        <v>0</v>
      </c>
      <c r="E257" s="190">
        <v>3</v>
      </c>
      <c r="G257" s="95"/>
      <c r="H257" s="192"/>
      <c r="I257" s="90"/>
    </row>
    <row r="258" spans="1:13" ht="21.6" customHeight="1" x14ac:dyDescent="0.5">
      <c r="A258" s="190" t="s">
        <v>233</v>
      </c>
      <c r="B258" s="190">
        <v>0</v>
      </c>
      <c r="C258" s="190">
        <v>3</v>
      </c>
      <c r="D258" s="190">
        <v>0</v>
      </c>
      <c r="E258" s="190">
        <v>0</v>
      </c>
      <c r="G258" s="95"/>
      <c r="H258" s="192"/>
      <c r="I258" s="90"/>
    </row>
    <row r="259" spans="1:13" ht="21.6" customHeight="1" x14ac:dyDescent="0.5">
      <c r="A259" s="190" t="s">
        <v>234</v>
      </c>
      <c r="B259" s="190">
        <v>0</v>
      </c>
      <c r="C259" s="190">
        <v>4</v>
      </c>
      <c r="D259" s="190">
        <v>0</v>
      </c>
      <c r="E259" s="190">
        <v>0</v>
      </c>
      <c r="G259" s="95"/>
      <c r="H259" s="192"/>
      <c r="I259" s="90"/>
    </row>
    <row r="260" spans="1:13" ht="21.6" customHeight="1" x14ac:dyDescent="0.55000000000000004">
      <c r="A260" s="190" t="s">
        <v>235</v>
      </c>
      <c r="B260" s="190">
        <f>'[1]Showers table'!B8+'[1]Showers table'!B8+'[1]Showers table'!C8-('[1]Showers table'!D8*'[1]Showers table'!E8)</f>
        <v>4.5999999999999996</v>
      </c>
      <c r="C260" s="190">
        <f>VLOOKUP('[1]Showers table'!$E$8,'Masster Database Pricing'!$A$273:$B$274,'Masster Database Pricing'!B272,0)</f>
        <v>3</v>
      </c>
      <c r="D260" s="190">
        <v>0</v>
      </c>
      <c r="E260" s="190">
        <v>5</v>
      </c>
      <c r="G260" s="95"/>
      <c r="H260" s="192"/>
      <c r="I260" s="90"/>
      <c r="M260" s="87"/>
    </row>
    <row r="261" spans="1:13" ht="21.6" customHeight="1" x14ac:dyDescent="0.5">
      <c r="A261" s="190" t="s">
        <v>236</v>
      </c>
      <c r="B261" s="190">
        <f>'[1]Showers table'!B8+'[1]Showers table'!C8-('[1]Showers table'!D8*'[1]Showers table'!E8)</f>
        <v>2.6</v>
      </c>
      <c r="C261" s="190">
        <f>C260</f>
        <v>3</v>
      </c>
      <c r="D261" s="190">
        <v>0</v>
      </c>
      <c r="E261" s="190">
        <v>3</v>
      </c>
      <c r="G261" s="95"/>
      <c r="H261" s="192"/>
      <c r="I261" s="90"/>
    </row>
    <row r="262" spans="1:13" ht="21.6" customHeight="1" x14ac:dyDescent="0.5">
      <c r="A262" s="193" t="s">
        <v>237</v>
      </c>
      <c r="B262" s="190">
        <f>B261</f>
        <v>2.6</v>
      </c>
      <c r="C262" s="190">
        <f>C260</f>
        <v>3</v>
      </c>
      <c r="D262" s="190">
        <v>1</v>
      </c>
      <c r="E262" s="190">
        <v>4</v>
      </c>
      <c r="G262" s="95"/>
      <c r="H262" s="192"/>
      <c r="I262" s="90"/>
    </row>
    <row r="263" spans="1:13" ht="21.6" customHeight="1" x14ac:dyDescent="0.5">
      <c r="A263" s="193" t="s">
        <v>238</v>
      </c>
      <c r="B263" s="190">
        <f>'[1]Showers table'!B8+'[1]Showers table'!B8+'[1]Showers table'!C8-('[1]Showers table'!D8*'[1]Showers table'!E8)</f>
        <v>4.5999999999999996</v>
      </c>
      <c r="C263" s="190">
        <f>C260</f>
        <v>3</v>
      </c>
      <c r="D263" s="190">
        <f>D262</f>
        <v>1</v>
      </c>
      <c r="E263" s="190">
        <v>5</v>
      </c>
      <c r="G263" s="95"/>
      <c r="H263" s="192"/>
      <c r="I263" s="90"/>
    </row>
    <row r="264" spans="1:13" ht="21.6" customHeight="1" x14ac:dyDescent="0.5">
      <c r="A264" s="193" t="s">
        <v>239</v>
      </c>
      <c r="B264" s="190">
        <f t="shared" ref="B264" si="3">B263</f>
        <v>4.5999999999999996</v>
      </c>
      <c r="C264" s="190">
        <f>C260</f>
        <v>3</v>
      </c>
      <c r="D264" s="190">
        <f>D263</f>
        <v>1</v>
      </c>
      <c r="E264" s="190">
        <v>8</v>
      </c>
      <c r="G264" s="95"/>
      <c r="H264" s="192"/>
      <c r="I264" s="90"/>
    </row>
    <row r="265" spans="1:13" ht="21.6" customHeight="1" x14ac:dyDescent="0.5">
      <c r="A265" s="190" t="s">
        <v>240</v>
      </c>
      <c r="B265" s="190">
        <f>B264</f>
        <v>4.5999999999999996</v>
      </c>
      <c r="C265" s="190">
        <f>C260</f>
        <v>3</v>
      </c>
      <c r="D265" s="190">
        <v>2</v>
      </c>
      <c r="E265" s="190">
        <v>5</v>
      </c>
      <c r="G265" s="95"/>
      <c r="H265" s="192"/>
      <c r="I265" s="90"/>
    </row>
    <row r="266" spans="1:13" ht="21.6" customHeight="1" x14ac:dyDescent="0.55000000000000004">
      <c r="A266" s="190" t="s">
        <v>241</v>
      </c>
      <c r="B266" s="190">
        <f>B264</f>
        <v>4.5999999999999996</v>
      </c>
      <c r="C266" s="190">
        <f>C260</f>
        <v>3</v>
      </c>
      <c r="D266" s="190">
        <v>2</v>
      </c>
      <c r="E266" s="190">
        <v>8</v>
      </c>
      <c r="G266" s="95"/>
      <c r="H266" s="192"/>
      <c r="I266" s="90"/>
      <c r="M266" s="87"/>
    </row>
    <row r="267" spans="1:13" ht="21.6" customHeight="1" x14ac:dyDescent="0.55000000000000004">
      <c r="A267" s="190" t="s">
        <v>242</v>
      </c>
      <c r="B267" s="190">
        <f>B265</f>
        <v>4.5999999999999996</v>
      </c>
      <c r="C267" s="190">
        <f>C266</f>
        <v>3</v>
      </c>
      <c r="D267" s="190">
        <v>2</v>
      </c>
      <c r="E267" s="190">
        <v>9</v>
      </c>
      <c r="G267" s="95"/>
      <c r="H267" s="192"/>
      <c r="I267" s="90"/>
      <c r="M267" s="87"/>
    </row>
    <row r="268" spans="1:13" ht="21.6" customHeight="1" x14ac:dyDescent="0.5">
      <c r="A268" s="190" t="s">
        <v>243</v>
      </c>
      <c r="B268" s="190">
        <f>B261</f>
        <v>2.6</v>
      </c>
      <c r="C268" s="190">
        <f>'[1]Showers table'!E8</f>
        <v>1</v>
      </c>
      <c r="D268" s="190">
        <v>0</v>
      </c>
      <c r="E268" s="190">
        <v>0</v>
      </c>
      <c r="G268" s="95"/>
      <c r="H268" s="192"/>
      <c r="I268" s="90"/>
    </row>
    <row r="269" spans="1:13" ht="21.6" customHeight="1" x14ac:dyDescent="0.5">
      <c r="A269" s="190" t="s">
        <v>244</v>
      </c>
      <c r="B269" s="190">
        <f>B267</f>
        <v>4.5999999999999996</v>
      </c>
      <c r="C269" s="190">
        <f>'[1]Showers table'!E8</f>
        <v>1</v>
      </c>
      <c r="D269" s="190">
        <v>1</v>
      </c>
      <c r="E269" s="190">
        <v>0</v>
      </c>
      <c r="G269" s="95"/>
      <c r="H269" s="192"/>
      <c r="I269" s="90"/>
    </row>
    <row r="270" spans="1:13" ht="21.6" customHeight="1" x14ac:dyDescent="0.5">
      <c r="A270" s="95"/>
      <c r="B270" s="95"/>
      <c r="C270" s="95"/>
      <c r="D270" s="95"/>
      <c r="E270" s="95"/>
      <c r="F270" s="95"/>
      <c r="G270" s="95"/>
      <c r="H270" s="192"/>
      <c r="I270" s="90"/>
    </row>
    <row r="271" spans="1:13" ht="21.6" customHeight="1" x14ac:dyDescent="0.5">
      <c r="A271" s="190" t="s">
        <v>245</v>
      </c>
      <c r="B271" s="190" t="s">
        <v>246</v>
      </c>
      <c r="C271" s="95"/>
      <c r="D271" s="95"/>
      <c r="E271" s="95"/>
      <c r="F271" s="95"/>
      <c r="G271" s="95"/>
      <c r="H271" s="95"/>
    </row>
    <row r="272" spans="1:13" ht="21.6" customHeight="1" x14ac:dyDescent="0.5">
      <c r="A272" s="194">
        <v>1</v>
      </c>
      <c r="B272" s="194">
        <v>2</v>
      </c>
      <c r="D272" s="95"/>
      <c r="E272" s="95"/>
      <c r="F272" s="95"/>
      <c r="G272" s="95"/>
      <c r="H272" s="95"/>
    </row>
    <row r="273" spans="1:8" ht="21.6" customHeight="1" x14ac:dyDescent="0.5">
      <c r="A273" s="190">
        <v>1</v>
      </c>
      <c r="B273" s="190">
        <v>3</v>
      </c>
      <c r="D273" s="95"/>
      <c r="E273" s="95"/>
      <c r="F273" s="95"/>
      <c r="G273" s="95"/>
      <c r="H273" s="95"/>
    </row>
    <row r="274" spans="1:8" ht="21.6" customHeight="1" x14ac:dyDescent="0.5">
      <c r="A274" s="190">
        <v>2</v>
      </c>
      <c r="B274" s="190">
        <v>4</v>
      </c>
      <c r="D274" s="95"/>
      <c r="E274" s="95"/>
      <c r="F274" s="95"/>
      <c r="G274" s="95"/>
      <c r="H274" s="95"/>
    </row>
    <row r="276" spans="1:8" ht="18" x14ac:dyDescent="0.6">
      <c r="A276" s="195" t="s">
        <v>247</v>
      </c>
      <c r="B276" s="195" t="s">
        <v>248</v>
      </c>
      <c r="C276" s="196"/>
      <c r="D276" s="196"/>
    </row>
    <row r="277" spans="1:8" ht="15.7" x14ac:dyDescent="0.55000000000000004">
      <c r="A277" s="197">
        <v>1</v>
      </c>
      <c r="B277" s="198" t="s">
        <v>249</v>
      </c>
      <c r="C277" s="199"/>
      <c r="D277" s="199"/>
    </row>
    <row r="278" spans="1:8" ht="15.7" x14ac:dyDescent="0.55000000000000004">
      <c r="A278" s="197">
        <v>1.5</v>
      </c>
      <c r="B278" s="198" t="s">
        <v>250</v>
      </c>
      <c r="C278" s="200"/>
      <c r="D278" s="200"/>
    </row>
    <row r="279" spans="1:8" ht="15.7" x14ac:dyDescent="0.55000000000000004">
      <c r="A279" s="197">
        <v>1.6</v>
      </c>
      <c r="B279" s="198" t="s">
        <v>251</v>
      </c>
      <c r="C279" s="200"/>
      <c r="D279" s="200"/>
    </row>
    <row r="280" spans="1:8" ht="15.7" x14ac:dyDescent="0.55000000000000004">
      <c r="A280" s="197">
        <v>1.7</v>
      </c>
      <c r="B280" s="198" t="s">
        <v>252</v>
      </c>
      <c r="C280" s="200"/>
      <c r="D280" s="200"/>
    </row>
    <row r="281" spans="1:8" ht="15.7" x14ac:dyDescent="0.55000000000000004">
      <c r="A281" s="197">
        <v>1.8</v>
      </c>
      <c r="B281" s="198" t="s">
        <v>253</v>
      </c>
      <c r="C281" s="200"/>
      <c r="D281" s="200"/>
    </row>
    <row r="282" spans="1:8" ht="15.7" x14ac:dyDescent="0.55000000000000004">
      <c r="A282" s="197">
        <v>1.9</v>
      </c>
      <c r="B282" s="198" t="s">
        <v>254</v>
      </c>
      <c r="C282" s="200"/>
      <c r="D282" s="200"/>
    </row>
    <row r="283" spans="1:8" ht="15.7" x14ac:dyDescent="0.55000000000000004">
      <c r="A283" s="197">
        <v>2</v>
      </c>
      <c r="B283" s="198"/>
      <c r="C283" s="200"/>
      <c r="D283" s="200"/>
    </row>
    <row r="284" spans="1:8" x14ac:dyDescent="0.5">
      <c r="B284" s="201"/>
      <c r="C284" s="200"/>
      <c r="D284" s="200"/>
    </row>
    <row r="285" spans="1:8" x14ac:dyDescent="0.5">
      <c r="A285" s="197">
        <v>1</v>
      </c>
      <c r="B285" s="131">
        <v>2</v>
      </c>
    </row>
    <row r="286" spans="1:8" x14ac:dyDescent="0.5">
      <c r="A286" s="131" t="s">
        <v>207</v>
      </c>
      <c r="B286" s="131">
        <v>2</v>
      </c>
    </row>
    <row r="287" spans="1:8" x14ac:dyDescent="0.5">
      <c r="A287" s="131" t="s">
        <v>255</v>
      </c>
      <c r="B287" s="131">
        <v>0</v>
      </c>
    </row>
    <row r="288" spans="1:8" x14ac:dyDescent="0.5">
      <c r="A288" s="131" t="s">
        <v>206</v>
      </c>
      <c r="B288" s="131"/>
    </row>
    <row r="290" spans="1:2" ht="16" thickBot="1" x14ac:dyDescent="0.55000000000000004">
      <c r="A290" s="175" t="s">
        <v>256</v>
      </c>
      <c r="B290" s="176"/>
    </row>
    <row r="291" spans="1:2" ht="16" thickBot="1" x14ac:dyDescent="0.55000000000000004">
      <c r="A291" s="177">
        <v>1</v>
      </c>
      <c r="B291" s="178">
        <v>2</v>
      </c>
    </row>
    <row r="292" spans="1:2" ht="16" thickBot="1" x14ac:dyDescent="0.55000000000000004">
      <c r="A292" s="179" t="s">
        <v>9</v>
      </c>
      <c r="B292" s="180" t="s">
        <v>10</v>
      </c>
    </row>
    <row r="293" spans="1:2" ht="15.7" x14ac:dyDescent="0.5">
      <c r="A293" s="171" t="s">
        <v>206</v>
      </c>
      <c r="B293" s="172">
        <v>0</v>
      </c>
    </row>
    <row r="294" spans="1:2" ht="15.7" x14ac:dyDescent="0.5">
      <c r="A294" s="158" t="s">
        <v>207</v>
      </c>
      <c r="B294" s="159">
        <f>'[1](2)'!H11</f>
        <v>135</v>
      </c>
    </row>
    <row r="295" spans="1:2" ht="15.7" x14ac:dyDescent="0.5">
      <c r="A295" s="160" t="s">
        <v>208</v>
      </c>
      <c r="B295" s="161">
        <f>B227</f>
        <v>150</v>
      </c>
    </row>
    <row r="296" spans="1:2" ht="16" thickBot="1" x14ac:dyDescent="0.55000000000000004">
      <c r="A296" s="162" t="s">
        <v>209</v>
      </c>
      <c r="B296" s="163">
        <f>B228</f>
        <v>175</v>
      </c>
    </row>
    <row r="297" spans="1:2" ht="16" thickBot="1" x14ac:dyDescent="0.55000000000000004">
      <c r="A297" s="175" t="s">
        <v>257</v>
      </c>
      <c r="B297" s="176"/>
    </row>
    <row r="298" spans="1:2" ht="16" thickBot="1" x14ac:dyDescent="0.55000000000000004">
      <c r="A298" s="177">
        <v>1</v>
      </c>
      <c r="B298" s="178">
        <v>2</v>
      </c>
    </row>
    <row r="299" spans="1:2" ht="16" thickBot="1" x14ac:dyDescent="0.55000000000000004">
      <c r="A299" s="179" t="s">
        <v>9</v>
      </c>
      <c r="B299" s="180" t="s">
        <v>10</v>
      </c>
    </row>
    <row r="300" spans="1:2" ht="15.7" x14ac:dyDescent="0.5">
      <c r="A300" s="171" t="s">
        <v>206</v>
      </c>
      <c r="B300" s="172">
        <v>0</v>
      </c>
    </row>
    <row r="301" spans="1:2" ht="15.7" x14ac:dyDescent="0.5">
      <c r="A301" s="158" t="s">
        <v>207</v>
      </c>
      <c r="B301" s="159">
        <f>'[1](3)'!H11</f>
        <v>85</v>
      </c>
    </row>
    <row r="302" spans="1:2" ht="15.7" x14ac:dyDescent="0.5">
      <c r="A302" s="160" t="s">
        <v>208</v>
      </c>
      <c r="B302" s="161">
        <f>B295</f>
        <v>150</v>
      </c>
    </row>
    <row r="303" spans="1:2" ht="16" thickBot="1" x14ac:dyDescent="0.55000000000000004">
      <c r="A303" s="162" t="s">
        <v>209</v>
      </c>
      <c r="B303" s="163">
        <f>B296</f>
        <v>175</v>
      </c>
    </row>
    <row r="304" spans="1:2" ht="16" thickBot="1" x14ac:dyDescent="0.55000000000000004">
      <c r="A304" s="175" t="s">
        <v>258</v>
      </c>
      <c r="B304" s="176"/>
    </row>
    <row r="305" spans="1:2" ht="16" thickBot="1" x14ac:dyDescent="0.55000000000000004">
      <c r="A305" s="177">
        <v>1</v>
      </c>
      <c r="B305" s="178">
        <v>2</v>
      </c>
    </row>
    <row r="306" spans="1:2" ht="16" thickBot="1" x14ac:dyDescent="0.55000000000000004">
      <c r="A306" s="179" t="s">
        <v>9</v>
      </c>
      <c r="B306" s="180" t="s">
        <v>10</v>
      </c>
    </row>
    <row r="307" spans="1:2" ht="15.7" x14ac:dyDescent="0.5">
      <c r="A307" s="171" t="s">
        <v>206</v>
      </c>
      <c r="B307" s="172">
        <v>0</v>
      </c>
    </row>
    <row r="308" spans="1:2" ht="15.7" x14ac:dyDescent="0.5">
      <c r="A308" s="158" t="s">
        <v>207</v>
      </c>
      <c r="B308" s="159">
        <f>'[1](4)'!H11</f>
        <v>0</v>
      </c>
    </row>
    <row r="309" spans="1:2" ht="15.7" x14ac:dyDescent="0.5">
      <c r="A309" s="160" t="s">
        <v>208</v>
      </c>
      <c r="B309" s="161">
        <f>B295</f>
        <v>150</v>
      </c>
    </row>
    <row r="310" spans="1:2" ht="16" thickBot="1" x14ac:dyDescent="0.55000000000000004">
      <c r="A310" s="162" t="s">
        <v>209</v>
      </c>
      <c r="B310" s="163">
        <f>B296</f>
        <v>175</v>
      </c>
    </row>
    <row r="311" spans="1:2" ht="16" thickBot="1" x14ac:dyDescent="0.55000000000000004">
      <c r="A311" s="175" t="s">
        <v>259</v>
      </c>
      <c r="B311" s="176"/>
    </row>
    <row r="312" spans="1:2" ht="16" thickBot="1" x14ac:dyDescent="0.55000000000000004">
      <c r="A312" s="177">
        <v>1</v>
      </c>
      <c r="B312" s="178">
        <v>2</v>
      </c>
    </row>
    <row r="313" spans="1:2" ht="16" thickBot="1" x14ac:dyDescent="0.55000000000000004">
      <c r="A313" s="179" t="s">
        <v>9</v>
      </c>
      <c r="B313" s="180" t="s">
        <v>10</v>
      </c>
    </row>
    <row r="314" spans="1:2" ht="15.7" x14ac:dyDescent="0.5">
      <c r="A314" s="171" t="s">
        <v>206</v>
      </c>
      <c r="B314" s="172">
        <v>0</v>
      </c>
    </row>
    <row r="315" spans="1:2" ht="15.7" x14ac:dyDescent="0.5">
      <c r="A315" s="158" t="s">
        <v>207</v>
      </c>
      <c r="B315" s="159">
        <f>'[1](5)'!H11</f>
        <v>0</v>
      </c>
    </row>
    <row r="316" spans="1:2" ht="15.7" x14ac:dyDescent="0.5">
      <c r="A316" s="160" t="s">
        <v>208</v>
      </c>
      <c r="B316" s="161">
        <f>B295</f>
        <v>150</v>
      </c>
    </row>
    <row r="317" spans="1:2" ht="16" thickBot="1" x14ac:dyDescent="0.55000000000000004">
      <c r="A317" s="162" t="s">
        <v>209</v>
      </c>
      <c r="B317" s="163">
        <f>B296</f>
        <v>175</v>
      </c>
    </row>
    <row r="318" spans="1:2" ht="16" thickBot="1" x14ac:dyDescent="0.55000000000000004">
      <c r="A318" s="175" t="s">
        <v>260</v>
      </c>
      <c r="B318" s="176"/>
    </row>
    <row r="319" spans="1:2" ht="16" thickBot="1" x14ac:dyDescent="0.55000000000000004">
      <c r="A319" s="177">
        <v>1</v>
      </c>
      <c r="B319" s="178">
        <v>2</v>
      </c>
    </row>
    <row r="320" spans="1:2" ht="16" thickBot="1" x14ac:dyDescent="0.55000000000000004">
      <c r="A320" s="179" t="s">
        <v>9</v>
      </c>
      <c r="B320" s="180" t="s">
        <v>10</v>
      </c>
    </row>
    <row r="321" spans="1:2" ht="15.7" x14ac:dyDescent="0.5">
      <c r="A321" s="171" t="s">
        <v>206</v>
      </c>
      <c r="B321" s="172">
        <v>0</v>
      </c>
    </row>
    <row r="322" spans="1:2" ht="15.7" x14ac:dyDescent="0.5">
      <c r="A322" s="158" t="s">
        <v>207</v>
      </c>
      <c r="B322" s="159">
        <f>'[1](6)'!H11</f>
        <v>0</v>
      </c>
    </row>
    <row r="323" spans="1:2" ht="15.7" x14ac:dyDescent="0.5">
      <c r="A323" s="160" t="s">
        <v>208</v>
      </c>
      <c r="B323" s="161">
        <f>B316</f>
        <v>150</v>
      </c>
    </row>
    <row r="324" spans="1:2" ht="16" thickBot="1" x14ac:dyDescent="0.55000000000000004">
      <c r="A324" s="162" t="s">
        <v>209</v>
      </c>
      <c r="B324" s="163">
        <f>B317</f>
        <v>175</v>
      </c>
    </row>
    <row r="325" spans="1:2" ht="16" thickBot="1" x14ac:dyDescent="0.55000000000000004">
      <c r="A325" s="175" t="s">
        <v>261</v>
      </c>
      <c r="B325" s="176"/>
    </row>
    <row r="326" spans="1:2" ht="16" thickBot="1" x14ac:dyDescent="0.55000000000000004">
      <c r="A326" s="177">
        <v>1</v>
      </c>
      <c r="B326" s="178">
        <v>2</v>
      </c>
    </row>
    <row r="327" spans="1:2" ht="16" thickBot="1" x14ac:dyDescent="0.55000000000000004">
      <c r="A327" s="179" t="s">
        <v>9</v>
      </c>
      <c r="B327" s="180" t="s">
        <v>10</v>
      </c>
    </row>
    <row r="328" spans="1:2" ht="15.7" x14ac:dyDescent="0.5">
      <c r="A328" s="171" t="s">
        <v>206</v>
      </c>
      <c r="B328" s="172">
        <v>0</v>
      </c>
    </row>
    <row r="329" spans="1:2" ht="15.7" x14ac:dyDescent="0.5">
      <c r="A329" s="158" t="s">
        <v>207</v>
      </c>
      <c r="B329" s="159">
        <f>'[1](7)'!H11</f>
        <v>0</v>
      </c>
    </row>
    <row r="330" spans="1:2" ht="15.7" x14ac:dyDescent="0.5">
      <c r="A330" s="160" t="s">
        <v>208</v>
      </c>
      <c r="B330" s="161">
        <f>B323</f>
        <v>150</v>
      </c>
    </row>
    <row r="331" spans="1:2" ht="16" thickBot="1" x14ac:dyDescent="0.55000000000000004">
      <c r="A331" s="162" t="s">
        <v>209</v>
      </c>
      <c r="B331" s="163">
        <f>B324</f>
        <v>175</v>
      </c>
    </row>
    <row r="332" spans="1:2" ht="16" thickBot="1" x14ac:dyDescent="0.55000000000000004">
      <c r="A332" s="175" t="s">
        <v>262</v>
      </c>
      <c r="B332" s="176"/>
    </row>
    <row r="333" spans="1:2" ht="16" thickBot="1" x14ac:dyDescent="0.55000000000000004">
      <c r="A333" s="177">
        <v>1</v>
      </c>
      <c r="B333" s="178">
        <v>2</v>
      </c>
    </row>
    <row r="334" spans="1:2" ht="16" thickBot="1" x14ac:dyDescent="0.55000000000000004">
      <c r="A334" s="179" t="s">
        <v>9</v>
      </c>
      <c r="B334" s="180" t="s">
        <v>10</v>
      </c>
    </row>
    <row r="335" spans="1:2" ht="15.7" x14ac:dyDescent="0.5">
      <c r="A335" s="171" t="s">
        <v>206</v>
      </c>
      <c r="B335" s="172">
        <v>0</v>
      </c>
    </row>
    <row r="336" spans="1:2" ht="15.7" x14ac:dyDescent="0.5">
      <c r="A336" s="158" t="s">
        <v>207</v>
      </c>
      <c r="B336" s="159">
        <f>'[1](8)'!H11</f>
        <v>0</v>
      </c>
    </row>
    <row r="337" spans="1:2" ht="15.7" x14ac:dyDescent="0.5">
      <c r="A337" s="160" t="s">
        <v>208</v>
      </c>
      <c r="B337" s="161">
        <f>B330</f>
        <v>150</v>
      </c>
    </row>
    <row r="338" spans="1:2" ht="16" thickBot="1" x14ac:dyDescent="0.55000000000000004">
      <c r="A338" s="162" t="s">
        <v>209</v>
      </c>
      <c r="B338" s="163">
        <f>B331</f>
        <v>175</v>
      </c>
    </row>
    <row r="339" spans="1:2" ht="16" thickBot="1" x14ac:dyDescent="0.55000000000000004">
      <c r="A339" s="175" t="s">
        <v>263</v>
      </c>
      <c r="B339" s="176"/>
    </row>
    <row r="340" spans="1:2" ht="16" thickBot="1" x14ac:dyDescent="0.55000000000000004">
      <c r="A340" s="177">
        <v>1</v>
      </c>
      <c r="B340" s="178">
        <v>2</v>
      </c>
    </row>
    <row r="341" spans="1:2" ht="16" thickBot="1" x14ac:dyDescent="0.55000000000000004">
      <c r="A341" s="179" t="s">
        <v>9</v>
      </c>
      <c r="B341" s="180" t="s">
        <v>10</v>
      </c>
    </row>
    <row r="342" spans="1:2" ht="15.7" x14ac:dyDescent="0.5">
      <c r="A342" s="171" t="s">
        <v>206</v>
      </c>
      <c r="B342" s="172">
        <v>0</v>
      </c>
    </row>
    <row r="343" spans="1:2" ht="15.7" x14ac:dyDescent="0.5">
      <c r="A343" s="158" t="s">
        <v>207</v>
      </c>
      <c r="B343" s="159">
        <f>'[1](9)'!H11</f>
        <v>0</v>
      </c>
    </row>
    <row r="344" spans="1:2" ht="15.7" x14ac:dyDescent="0.5">
      <c r="A344" s="160" t="s">
        <v>208</v>
      </c>
      <c r="B344" s="161">
        <f>B337</f>
        <v>150</v>
      </c>
    </row>
    <row r="345" spans="1:2" ht="16" thickBot="1" x14ac:dyDescent="0.55000000000000004">
      <c r="A345" s="162" t="s">
        <v>209</v>
      </c>
      <c r="B345" s="163">
        <f>B338</f>
        <v>175</v>
      </c>
    </row>
    <row r="346" spans="1:2" ht="16" thickBot="1" x14ac:dyDescent="0.55000000000000004">
      <c r="A346" s="175" t="s">
        <v>264</v>
      </c>
      <c r="B346" s="176"/>
    </row>
    <row r="347" spans="1:2" ht="16" thickBot="1" x14ac:dyDescent="0.55000000000000004">
      <c r="A347" s="177">
        <v>1</v>
      </c>
      <c r="B347" s="178">
        <v>2</v>
      </c>
    </row>
    <row r="348" spans="1:2" ht="16" thickBot="1" x14ac:dyDescent="0.55000000000000004">
      <c r="A348" s="179" t="s">
        <v>9</v>
      </c>
      <c r="B348" s="180" t="s">
        <v>10</v>
      </c>
    </row>
    <row r="349" spans="1:2" ht="15.7" x14ac:dyDescent="0.5">
      <c r="A349" s="171" t="s">
        <v>206</v>
      </c>
      <c r="B349" s="172">
        <v>0</v>
      </c>
    </row>
    <row r="350" spans="1:2" ht="15.7" x14ac:dyDescent="0.5">
      <c r="A350" s="158" t="s">
        <v>207</v>
      </c>
      <c r="B350" s="159">
        <f>'[1](10)'!H11</f>
        <v>0</v>
      </c>
    </row>
    <row r="351" spans="1:2" ht="15.7" x14ac:dyDescent="0.5">
      <c r="A351" s="160" t="s">
        <v>208</v>
      </c>
      <c r="B351" s="161">
        <f>B344</f>
        <v>150</v>
      </c>
    </row>
    <row r="352" spans="1:2" ht="16" thickBot="1" x14ac:dyDescent="0.55000000000000004">
      <c r="A352" s="162" t="s">
        <v>209</v>
      </c>
      <c r="B352" s="163">
        <f>B345</f>
        <v>175</v>
      </c>
    </row>
    <row r="354" spans="1:7" ht="18" x14ac:dyDescent="0.5">
      <c r="A354" s="189" t="s">
        <v>226</v>
      </c>
      <c r="B354" s="190" t="s">
        <v>227</v>
      </c>
      <c r="C354" s="190" t="s">
        <v>228</v>
      </c>
      <c r="D354">
        <f>'[1](1)'!A5</f>
        <v>2</v>
      </c>
      <c r="E354">
        <f>'[1](1)'!C5</f>
        <v>0.6</v>
      </c>
      <c r="F354">
        <f>'[1](1)'!D5</f>
        <v>0</v>
      </c>
      <c r="G354">
        <f>'[1](1)'!E5</f>
        <v>1</v>
      </c>
    </row>
    <row r="355" spans="1:7" ht="15.7" x14ac:dyDescent="0.5">
      <c r="A355" s="190">
        <v>1</v>
      </c>
      <c r="B355" s="190">
        <v>2</v>
      </c>
      <c r="C355" s="190">
        <v>3</v>
      </c>
    </row>
    <row r="356" spans="1:7" ht="15.7" x14ac:dyDescent="0.5">
      <c r="A356" s="190" t="s">
        <v>231</v>
      </c>
      <c r="B356" s="190">
        <v>0</v>
      </c>
      <c r="C356" s="190">
        <v>0</v>
      </c>
    </row>
    <row r="357" spans="1:7" ht="15.7" x14ac:dyDescent="0.5">
      <c r="A357" s="190" t="s">
        <v>232</v>
      </c>
      <c r="B357" s="190">
        <f>D354+E354</f>
        <v>2.6</v>
      </c>
      <c r="C357" s="190">
        <v>0</v>
      </c>
    </row>
    <row r="358" spans="1:7" ht="15.7" x14ac:dyDescent="0.5">
      <c r="A358" s="190" t="s">
        <v>233</v>
      </c>
      <c r="B358" s="190">
        <v>0</v>
      </c>
      <c r="C358" s="190">
        <f>3*G354</f>
        <v>3</v>
      </c>
    </row>
    <row r="359" spans="1:7" ht="15.7" x14ac:dyDescent="0.5">
      <c r="A359" s="190" t="s">
        <v>234</v>
      </c>
      <c r="B359" s="190">
        <v>0</v>
      </c>
      <c r="C359" s="190">
        <f>4*G354</f>
        <v>4</v>
      </c>
    </row>
    <row r="360" spans="1:7" ht="15.7" x14ac:dyDescent="0.5">
      <c r="A360" s="190" t="s">
        <v>235</v>
      </c>
      <c r="B360" s="190">
        <f>D354+D354+E354-(F354*G354)</f>
        <v>4.5999999999999996</v>
      </c>
      <c r="C360" s="190">
        <f>VLOOKUP($G$354,$A$273:$B$274,B272,0)</f>
        <v>3</v>
      </c>
    </row>
    <row r="361" spans="1:7" ht="15.7" x14ac:dyDescent="0.5">
      <c r="A361" s="190" t="s">
        <v>236</v>
      </c>
      <c r="B361" s="190">
        <f>D354+E354-(F354*G354)</f>
        <v>2.6</v>
      </c>
      <c r="C361" s="190">
        <f>C360</f>
        <v>3</v>
      </c>
    </row>
    <row r="362" spans="1:7" ht="15.7" x14ac:dyDescent="0.5">
      <c r="A362" s="193" t="s">
        <v>237</v>
      </c>
      <c r="B362" s="190">
        <f>B361</f>
        <v>2.6</v>
      </c>
      <c r="C362" s="190">
        <f>C360</f>
        <v>3</v>
      </c>
    </row>
    <row r="363" spans="1:7" ht="15.7" x14ac:dyDescent="0.5">
      <c r="A363" s="193" t="s">
        <v>238</v>
      </c>
      <c r="B363" s="190">
        <f>B360</f>
        <v>4.5999999999999996</v>
      </c>
      <c r="C363" s="190">
        <f>C360</f>
        <v>3</v>
      </c>
    </row>
    <row r="364" spans="1:7" ht="15.7" x14ac:dyDescent="0.5">
      <c r="A364" s="193" t="s">
        <v>239</v>
      </c>
      <c r="B364" s="190">
        <f t="shared" ref="B364" si="4">B363</f>
        <v>4.5999999999999996</v>
      </c>
      <c r="C364" s="190">
        <f>C360</f>
        <v>3</v>
      </c>
    </row>
    <row r="365" spans="1:7" ht="15.7" x14ac:dyDescent="0.5">
      <c r="A365" s="190" t="s">
        <v>240</v>
      </c>
      <c r="B365" s="190">
        <f>B364</f>
        <v>4.5999999999999996</v>
      </c>
      <c r="C365" s="190">
        <f>C360</f>
        <v>3</v>
      </c>
    </row>
    <row r="366" spans="1:7" ht="15.7" x14ac:dyDescent="0.5">
      <c r="A366" s="190" t="s">
        <v>241</v>
      </c>
      <c r="B366" s="190">
        <f>B364</f>
        <v>4.5999999999999996</v>
      </c>
      <c r="C366" s="190">
        <f>C360</f>
        <v>3</v>
      </c>
    </row>
    <row r="367" spans="1:7" ht="15.7" x14ac:dyDescent="0.5">
      <c r="A367" s="190" t="s">
        <v>242</v>
      </c>
      <c r="B367" s="190">
        <f>B365</f>
        <v>4.5999999999999996</v>
      </c>
      <c r="C367" s="190">
        <f>C366</f>
        <v>3</v>
      </c>
    </row>
    <row r="368" spans="1:7" ht="15.7" x14ac:dyDescent="0.5">
      <c r="A368" s="190" t="s">
        <v>243</v>
      </c>
      <c r="B368" s="190">
        <f>B361</f>
        <v>2.6</v>
      </c>
      <c r="C368" s="190">
        <f>G354</f>
        <v>1</v>
      </c>
    </row>
    <row r="369" spans="1:7" ht="15.7" x14ac:dyDescent="0.5">
      <c r="A369" s="190" t="s">
        <v>244</v>
      </c>
      <c r="B369" s="190">
        <f>B367</f>
        <v>4.5999999999999996</v>
      </c>
      <c r="C369" s="190">
        <f>G354</f>
        <v>1</v>
      </c>
    </row>
    <row r="371" spans="1:7" ht="18" x14ac:dyDescent="0.5">
      <c r="A371" s="189" t="s">
        <v>265</v>
      </c>
      <c r="B371" s="190" t="s">
        <v>227</v>
      </c>
      <c r="C371" s="190" t="s">
        <v>228</v>
      </c>
      <c r="D371">
        <f>'[1](2)'!A5</f>
        <v>0</v>
      </c>
      <c r="E371">
        <f>'[1](2)'!C5</f>
        <v>0</v>
      </c>
      <c r="F371">
        <f>'[1](2)'!D5</f>
        <v>0.7</v>
      </c>
      <c r="G371">
        <f>'[1](2)'!E5</f>
        <v>1</v>
      </c>
    </row>
    <row r="372" spans="1:7" ht="15.7" x14ac:dyDescent="0.5">
      <c r="A372" s="190">
        <v>1</v>
      </c>
      <c r="B372" s="190">
        <v>2</v>
      </c>
      <c r="C372" s="190">
        <v>3</v>
      </c>
    </row>
    <row r="373" spans="1:7" ht="15.7" x14ac:dyDescent="0.5">
      <c r="A373" s="190" t="s">
        <v>231</v>
      </c>
      <c r="B373" s="190">
        <v>0</v>
      </c>
      <c r="C373" s="190">
        <v>0</v>
      </c>
    </row>
    <row r="374" spans="1:7" ht="15.7" x14ac:dyDescent="0.5">
      <c r="A374" s="190" t="s">
        <v>232</v>
      </c>
      <c r="B374" s="190">
        <f>D371+E371</f>
        <v>0</v>
      </c>
      <c r="C374" s="190">
        <v>0</v>
      </c>
    </row>
    <row r="375" spans="1:7" ht="15.7" x14ac:dyDescent="0.5">
      <c r="A375" s="190" t="s">
        <v>233</v>
      </c>
      <c r="B375" s="190">
        <v>0</v>
      </c>
      <c r="C375" s="190">
        <f>3*G371</f>
        <v>3</v>
      </c>
    </row>
    <row r="376" spans="1:7" ht="15.7" x14ac:dyDescent="0.5">
      <c r="A376" s="190" t="s">
        <v>234</v>
      </c>
      <c r="B376" s="190">
        <v>0</v>
      </c>
      <c r="C376" s="190">
        <f>4*G371</f>
        <v>4</v>
      </c>
    </row>
    <row r="377" spans="1:7" ht="15.7" x14ac:dyDescent="0.5">
      <c r="A377" s="190" t="s">
        <v>235</v>
      </c>
      <c r="B377" s="190">
        <f>D371+D371+E371-(F371*G371)</f>
        <v>-0.7</v>
      </c>
      <c r="C377" s="190">
        <f>VLOOKUP($G$371,$A$273:$B$274,B272,0)</f>
        <v>3</v>
      </c>
    </row>
    <row r="378" spans="1:7" ht="15.7" x14ac:dyDescent="0.5">
      <c r="A378" s="190" t="s">
        <v>236</v>
      </c>
      <c r="B378" s="190">
        <f>D371+E371-(F371*G371)</f>
        <v>-0.7</v>
      </c>
      <c r="C378" s="190">
        <f>C377</f>
        <v>3</v>
      </c>
    </row>
    <row r="379" spans="1:7" ht="15.7" x14ac:dyDescent="0.5">
      <c r="A379" s="193" t="s">
        <v>237</v>
      </c>
      <c r="B379" s="190">
        <f>B378</f>
        <v>-0.7</v>
      </c>
      <c r="C379" s="190">
        <f>C377</f>
        <v>3</v>
      </c>
    </row>
    <row r="380" spans="1:7" ht="15.7" x14ac:dyDescent="0.5">
      <c r="A380" s="193" t="s">
        <v>238</v>
      </c>
      <c r="B380" s="190">
        <f>B377</f>
        <v>-0.7</v>
      </c>
      <c r="C380" s="190">
        <f>C377</f>
        <v>3</v>
      </c>
    </row>
    <row r="381" spans="1:7" ht="15.7" x14ac:dyDescent="0.5">
      <c r="A381" s="193" t="s">
        <v>239</v>
      </c>
      <c r="B381" s="190">
        <f t="shared" ref="B381" si="5">B380</f>
        <v>-0.7</v>
      </c>
      <c r="C381" s="190">
        <f>C377</f>
        <v>3</v>
      </c>
    </row>
    <row r="382" spans="1:7" ht="15.7" x14ac:dyDescent="0.5">
      <c r="A382" s="190" t="s">
        <v>240</v>
      </c>
      <c r="B382" s="190">
        <f>B381</f>
        <v>-0.7</v>
      </c>
      <c r="C382" s="190">
        <f>C377</f>
        <v>3</v>
      </c>
    </row>
    <row r="383" spans="1:7" ht="15.7" x14ac:dyDescent="0.5">
      <c r="A383" s="190" t="s">
        <v>241</v>
      </c>
      <c r="B383" s="190">
        <f>B381</f>
        <v>-0.7</v>
      </c>
      <c r="C383" s="190">
        <f>C377</f>
        <v>3</v>
      </c>
    </row>
    <row r="384" spans="1:7" ht="15.7" x14ac:dyDescent="0.5">
      <c r="A384" s="190" t="s">
        <v>242</v>
      </c>
      <c r="B384" s="190">
        <f>B382</f>
        <v>-0.7</v>
      </c>
      <c r="C384" s="190">
        <f>C383</f>
        <v>3</v>
      </c>
    </row>
    <row r="385" spans="1:7" ht="15.7" x14ac:dyDescent="0.5">
      <c r="A385" s="190" t="s">
        <v>243</v>
      </c>
      <c r="B385" s="190">
        <f>B378</f>
        <v>-0.7</v>
      </c>
      <c r="C385" s="190">
        <f>G371</f>
        <v>1</v>
      </c>
    </row>
    <row r="386" spans="1:7" ht="15.7" x14ac:dyDescent="0.5">
      <c r="A386" s="190" t="s">
        <v>244</v>
      </c>
      <c r="B386" s="190">
        <f>B384</f>
        <v>-0.7</v>
      </c>
      <c r="C386" s="190">
        <f>G371</f>
        <v>1</v>
      </c>
    </row>
    <row r="388" spans="1:7" ht="18" x14ac:dyDescent="0.5">
      <c r="A388" s="189" t="s">
        <v>266</v>
      </c>
      <c r="B388" s="190" t="s">
        <v>227</v>
      </c>
      <c r="C388" s="190" t="s">
        <v>228</v>
      </c>
      <c r="D388">
        <f>'[1](3)'!A5</f>
        <v>0</v>
      </c>
      <c r="E388">
        <f>'[1](3)'!C5</f>
        <v>0</v>
      </c>
      <c r="F388">
        <f>'[1](3)'!D5</f>
        <v>0.7</v>
      </c>
      <c r="G388">
        <f>'[1](3)'!E5</f>
        <v>1</v>
      </c>
    </row>
    <row r="389" spans="1:7" ht="15.7" x14ac:dyDescent="0.5">
      <c r="A389" s="190">
        <v>1</v>
      </c>
      <c r="B389" s="190">
        <v>2</v>
      </c>
      <c r="C389" s="190">
        <v>3</v>
      </c>
    </row>
    <row r="390" spans="1:7" ht="15.7" x14ac:dyDescent="0.5">
      <c r="A390" s="190" t="s">
        <v>231</v>
      </c>
      <c r="B390" s="190">
        <v>0</v>
      </c>
      <c r="C390" s="190">
        <v>0</v>
      </c>
    </row>
    <row r="391" spans="1:7" ht="15.7" x14ac:dyDescent="0.5">
      <c r="A391" s="190" t="s">
        <v>232</v>
      </c>
      <c r="B391" s="190">
        <f>D388+E388</f>
        <v>0</v>
      </c>
      <c r="C391" s="190">
        <v>0</v>
      </c>
    </row>
    <row r="392" spans="1:7" ht="15.7" x14ac:dyDescent="0.5">
      <c r="A392" s="190" t="s">
        <v>233</v>
      </c>
      <c r="B392" s="190">
        <v>0</v>
      </c>
      <c r="C392" s="190">
        <f>3*G388</f>
        <v>3</v>
      </c>
    </row>
    <row r="393" spans="1:7" ht="15.7" x14ac:dyDescent="0.5">
      <c r="A393" s="190" t="s">
        <v>234</v>
      </c>
      <c r="B393" s="190">
        <v>0</v>
      </c>
      <c r="C393" s="190">
        <f>4*G388</f>
        <v>4</v>
      </c>
    </row>
    <row r="394" spans="1:7" ht="15.7" x14ac:dyDescent="0.5">
      <c r="A394" s="190" t="s">
        <v>235</v>
      </c>
      <c r="B394" s="190">
        <f>D388+D388+E388-(F388*G388)</f>
        <v>-0.7</v>
      </c>
      <c r="C394" s="190">
        <f>VLOOKUP($G$388,$A$273:$B$274,B272,0)</f>
        <v>3</v>
      </c>
    </row>
    <row r="395" spans="1:7" ht="15.7" x14ac:dyDescent="0.5">
      <c r="A395" s="190" t="s">
        <v>236</v>
      </c>
      <c r="B395" s="190">
        <f>D388+E388-(F388*G388)</f>
        <v>-0.7</v>
      </c>
      <c r="C395" s="190">
        <f>C394</f>
        <v>3</v>
      </c>
    </row>
    <row r="396" spans="1:7" ht="15.7" x14ac:dyDescent="0.5">
      <c r="A396" s="193" t="s">
        <v>237</v>
      </c>
      <c r="B396" s="190">
        <f>B395</f>
        <v>-0.7</v>
      </c>
      <c r="C396" s="190">
        <f>C394</f>
        <v>3</v>
      </c>
    </row>
    <row r="397" spans="1:7" ht="15.7" x14ac:dyDescent="0.5">
      <c r="A397" s="193" t="s">
        <v>238</v>
      </c>
      <c r="B397" s="190">
        <f>B394</f>
        <v>-0.7</v>
      </c>
      <c r="C397" s="190">
        <f>C394</f>
        <v>3</v>
      </c>
    </row>
    <row r="398" spans="1:7" ht="15.7" x14ac:dyDescent="0.5">
      <c r="A398" s="193" t="s">
        <v>239</v>
      </c>
      <c r="B398" s="190">
        <f t="shared" ref="B398" si="6">B397</f>
        <v>-0.7</v>
      </c>
      <c r="C398" s="190">
        <f>C394</f>
        <v>3</v>
      </c>
    </row>
    <row r="399" spans="1:7" ht="15.7" x14ac:dyDescent="0.5">
      <c r="A399" s="190" t="s">
        <v>240</v>
      </c>
      <c r="B399" s="190">
        <f>B398</f>
        <v>-0.7</v>
      </c>
      <c r="C399" s="190">
        <f>C394</f>
        <v>3</v>
      </c>
    </row>
    <row r="400" spans="1:7" ht="15.7" x14ac:dyDescent="0.5">
      <c r="A400" s="190" t="s">
        <v>241</v>
      </c>
      <c r="B400" s="190">
        <f>B398</f>
        <v>-0.7</v>
      </c>
      <c r="C400" s="190">
        <f>C394</f>
        <v>3</v>
      </c>
    </row>
    <row r="401" spans="1:7" ht="15.7" x14ac:dyDescent="0.5">
      <c r="A401" s="190" t="s">
        <v>242</v>
      </c>
      <c r="B401" s="190">
        <f>B399</f>
        <v>-0.7</v>
      </c>
      <c r="C401" s="190">
        <f>C400</f>
        <v>3</v>
      </c>
    </row>
    <row r="402" spans="1:7" ht="15.7" x14ac:dyDescent="0.5">
      <c r="A402" s="190" t="s">
        <v>243</v>
      </c>
      <c r="B402" s="190">
        <f>B395</f>
        <v>-0.7</v>
      </c>
      <c r="C402" s="190">
        <f>G388</f>
        <v>1</v>
      </c>
    </row>
    <row r="403" spans="1:7" ht="15.7" x14ac:dyDescent="0.5">
      <c r="A403" s="190" t="s">
        <v>244</v>
      </c>
      <c r="B403" s="190">
        <f>B401</f>
        <v>-0.7</v>
      </c>
      <c r="C403" s="190">
        <f>G388</f>
        <v>1</v>
      </c>
    </row>
    <row r="405" spans="1:7" ht="18" x14ac:dyDescent="0.5">
      <c r="A405" s="189" t="s">
        <v>267</v>
      </c>
      <c r="B405" s="190" t="s">
        <v>227</v>
      </c>
      <c r="C405" s="190" t="s">
        <v>228</v>
      </c>
      <c r="D405">
        <f>'[1](4)'!A5</f>
        <v>200</v>
      </c>
      <c r="E405">
        <f>'[1](4)'!C5</f>
        <v>100</v>
      </c>
      <c r="F405">
        <f>'[1](4)'!D5</f>
        <v>0.7</v>
      </c>
      <c r="G405">
        <f>'[1](4)'!E5</f>
        <v>1</v>
      </c>
    </row>
    <row r="406" spans="1:7" ht="15.7" x14ac:dyDescent="0.5">
      <c r="A406" s="190">
        <v>1</v>
      </c>
      <c r="B406" s="190">
        <v>2</v>
      </c>
      <c r="C406" s="190">
        <v>3</v>
      </c>
    </row>
    <row r="407" spans="1:7" ht="15.7" x14ac:dyDescent="0.5">
      <c r="A407" s="190" t="s">
        <v>231</v>
      </c>
      <c r="B407" s="190">
        <v>0</v>
      </c>
      <c r="C407" s="190">
        <v>0</v>
      </c>
    </row>
    <row r="408" spans="1:7" ht="15.7" x14ac:dyDescent="0.5">
      <c r="A408" s="190" t="s">
        <v>232</v>
      </c>
      <c r="B408" s="190">
        <f>D405+E405</f>
        <v>300</v>
      </c>
      <c r="C408" s="190">
        <v>0</v>
      </c>
    </row>
    <row r="409" spans="1:7" ht="15.7" x14ac:dyDescent="0.5">
      <c r="A409" s="190" t="s">
        <v>233</v>
      </c>
      <c r="B409" s="190">
        <v>0</v>
      </c>
      <c r="C409" s="190">
        <f>3*G405</f>
        <v>3</v>
      </c>
    </row>
    <row r="410" spans="1:7" ht="15.7" x14ac:dyDescent="0.5">
      <c r="A410" s="190" t="s">
        <v>234</v>
      </c>
      <c r="B410" s="190">
        <v>0</v>
      </c>
      <c r="C410" s="190">
        <f>4*G405</f>
        <v>4</v>
      </c>
    </row>
    <row r="411" spans="1:7" ht="15.7" x14ac:dyDescent="0.5">
      <c r="A411" s="190" t="s">
        <v>235</v>
      </c>
      <c r="B411" s="190">
        <f>D405+D405+E405-(F405*G405)</f>
        <v>499.3</v>
      </c>
      <c r="C411" s="190">
        <f>VLOOKUP($G$405,$A$273:$B$274,B272,0)</f>
        <v>3</v>
      </c>
    </row>
    <row r="412" spans="1:7" ht="15.7" x14ac:dyDescent="0.5">
      <c r="A412" s="190" t="s">
        <v>236</v>
      </c>
      <c r="B412" s="190">
        <f>D405+E405-(F405*G405)</f>
        <v>299.3</v>
      </c>
      <c r="C412" s="190">
        <f>C411</f>
        <v>3</v>
      </c>
    </row>
    <row r="413" spans="1:7" ht="15.7" x14ac:dyDescent="0.5">
      <c r="A413" s="193" t="s">
        <v>237</v>
      </c>
      <c r="B413" s="190">
        <f>B412</f>
        <v>299.3</v>
      </c>
      <c r="C413" s="190">
        <f>C411</f>
        <v>3</v>
      </c>
    </row>
    <row r="414" spans="1:7" ht="15.7" x14ac:dyDescent="0.5">
      <c r="A414" s="193" t="s">
        <v>238</v>
      </c>
      <c r="B414" s="190">
        <f>B411</f>
        <v>499.3</v>
      </c>
      <c r="C414" s="190">
        <f>C411</f>
        <v>3</v>
      </c>
    </row>
    <row r="415" spans="1:7" ht="15.7" x14ac:dyDescent="0.5">
      <c r="A415" s="193" t="s">
        <v>239</v>
      </c>
      <c r="B415" s="190">
        <f t="shared" ref="B415" si="7">B414</f>
        <v>499.3</v>
      </c>
      <c r="C415" s="190">
        <f>C411</f>
        <v>3</v>
      </c>
    </row>
    <row r="416" spans="1:7" ht="15.7" x14ac:dyDescent="0.5">
      <c r="A416" s="190" t="s">
        <v>240</v>
      </c>
      <c r="B416" s="190">
        <f>B415</f>
        <v>499.3</v>
      </c>
      <c r="C416" s="190">
        <f>C411</f>
        <v>3</v>
      </c>
    </row>
    <row r="417" spans="1:7" ht="15.7" x14ac:dyDescent="0.5">
      <c r="A417" s="190" t="s">
        <v>241</v>
      </c>
      <c r="B417" s="190">
        <f>B415</f>
        <v>499.3</v>
      </c>
      <c r="C417" s="190">
        <f>C411</f>
        <v>3</v>
      </c>
    </row>
    <row r="418" spans="1:7" ht="15.7" x14ac:dyDescent="0.5">
      <c r="A418" s="190" t="s">
        <v>242</v>
      </c>
      <c r="B418" s="190">
        <f>B416</f>
        <v>499.3</v>
      </c>
      <c r="C418" s="190">
        <f>C417</f>
        <v>3</v>
      </c>
    </row>
    <row r="419" spans="1:7" ht="15.7" x14ac:dyDescent="0.5">
      <c r="A419" s="190" t="s">
        <v>243</v>
      </c>
      <c r="B419" s="190">
        <f>B412</f>
        <v>299.3</v>
      </c>
      <c r="C419" s="190">
        <f>G405</f>
        <v>1</v>
      </c>
    </row>
    <row r="420" spans="1:7" ht="15.7" x14ac:dyDescent="0.5">
      <c r="A420" s="190" t="s">
        <v>244</v>
      </c>
      <c r="B420" s="190">
        <f>B418</f>
        <v>499.3</v>
      </c>
      <c r="C420" s="190">
        <f>G405</f>
        <v>1</v>
      </c>
    </row>
    <row r="422" spans="1:7" ht="18" x14ac:dyDescent="0.5">
      <c r="A422" s="189" t="s">
        <v>268</v>
      </c>
      <c r="B422" s="190" t="s">
        <v>227</v>
      </c>
      <c r="C422" s="190" t="s">
        <v>228</v>
      </c>
      <c r="D422">
        <f>'[1](5)'!A5</f>
        <v>2</v>
      </c>
      <c r="E422">
        <f>'[1](5)'!C5</f>
        <v>1</v>
      </c>
      <c r="F422">
        <f>'[1](5)'!D5</f>
        <v>0.7</v>
      </c>
      <c r="G422">
        <f>'[1](5)'!E5</f>
        <v>1</v>
      </c>
    </row>
    <row r="423" spans="1:7" ht="15.7" x14ac:dyDescent="0.5">
      <c r="A423" s="190">
        <v>1</v>
      </c>
      <c r="B423" s="190">
        <v>2</v>
      </c>
      <c r="C423" s="190">
        <v>3</v>
      </c>
    </row>
    <row r="424" spans="1:7" ht="15.7" x14ac:dyDescent="0.5">
      <c r="A424" s="190" t="s">
        <v>231</v>
      </c>
      <c r="B424" s="190">
        <v>0</v>
      </c>
      <c r="C424" s="190">
        <v>0</v>
      </c>
    </row>
    <row r="425" spans="1:7" ht="15.7" x14ac:dyDescent="0.5">
      <c r="A425" s="190" t="s">
        <v>232</v>
      </c>
      <c r="B425" s="190">
        <f>D422+E422</f>
        <v>3</v>
      </c>
      <c r="C425" s="190">
        <v>0</v>
      </c>
    </row>
    <row r="426" spans="1:7" ht="15.7" x14ac:dyDescent="0.5">
      <c r="A426" s="190" t="s">
        <v>233</v>
      </c>
      <c r="B426" s="190">
        <v>0</v>
      </c>
      <c r="C426" s="190">
        <f>3*G422</f>
        <v>3</v>
      </c>
    </row>
    <row r="427" spans="1:7" ht="15.7" x14ac:dyDescent="0.5">
      <c r="A427" s="190" t="s">
        <v>234</v>
      </c>
      <c r="B427" s="190">
        <v>0</v>
      </c>
      <c r="C427" s="190">
        <f>4*G422</f>
        <v>4</v>
      </c>
    </row>
    <row r="428" spans="1:7" ht="15.7" x14ac:dyDescent="0.5">
      <c r="A428" s="190" t="s">
        <v>235</v>
      </c>
      <c r="B428" s="190">
        <f>D422+D422+E422-(F422*G422)</f>
        <v>4.3</v>
      </c>
      <c r="C428" s="190">
        <f>VLOOKUP($G$422,$A$273:$B$274,B272,0)</f>
        <v>3</v>
      </c>
    </row>
    <row r="429" spans="1:7" ht="15.7" x14ac:dyDescent="0.5">
      <c r="A429" s="190" t="s">
        <v>236</v>
      </c>
      <c r="B429" s="190">
        <f>D422+E422-(F422*G422)</f>
        <v>2.2999999999999998</v>
      </c>
      <c r="C429" s="190">
        <f>C428</f>
        <v>3</v>
      </c>
    </row>
    <row r="430" spans="1:7" ht="15.7" x14ac:dyDescent="0.5">
      <c r="A430" s="193" t="s">
        <v>237</v>
      </c>
      <c r="B430" s="190">
        <f>B429</f>
        <v>2.2999999999999998</v>
      </c>
      <c r="C430" s="190">
        <f>C428</f>
        <v>3</v>
      </c>
    </row>
    <row r="431" spans="1:7" ht="15.7" x14ac:dyDescent="0.5">
      <c r="A431" s="193" t="s">
        <v>238</v>
      </c>
      <c r="B431" s="190">
        <f>B428</f>
        <v>4.3</v>
      </c>
      <c r="C431" s="190">
        <f>C428</f>
        <v>3</v>
      </c>
    </row>
    <row r="432" spans="1:7" ht="15.7" x14ac:dyDescent="0.5">
      <c r="A432" s="193" t="s">
        <v>239</v>
      </c>
      <c r="B432" s="190">
        <f t="shared" ref="B432" si="8">B431</f>
        <v>4.3</v>
      </c>
      <c r="C432" s="190">
        <f>C428</f>
        <v>3</v>
      </c>
    </row>
    <row r="433" spans="1:7" ht="15.7" x14ac:dyDescent="0.5">
      <c r="A433" s="190" t="s">
        <v>240</v>
      </c>
      <c r="B433" s="190">
        <f>B432</f>
        <v>4.3</v>
      </c>
      <c r="C433" s="190">
        <f>C428</f>
        <v>3</v>
      </c>
    </row>
    <row r="434" spans="1:7" ht="15.7" x14ac:dyDescent="0.5">
      <c r="A434" s="190" t="s">
        <v>241</v>
      </c>
      <c r="B434" s="190">
        <f>B432</f>
        <v>4.3</v>
      </c>
      <c r="C434" s="190">
        <f>C428</f>
        <v>3</v>
      </c>
    </row>
    <row r="435" spans="1:7" ht="15.7" x14ac:dyDescent="0.5">
      <c r="A435" s="190" t="s">
        <v>242</v>
      </c>
      <c r="B435" s="190">
        <f>B433</f>
        <v>4.3</v>
      </c>
      <c r="C435" s="190">
        <f>C434</f>
        <v>3</v>
      </c>
    </row>
    <row r="436" spans="1:7" ht="15.7" x14ac:dyDescent="0.5">
      <c r="A436" s="190" t="s">
        <v>243</v>
      </c>
      <c r="B436" s="190">
        <f>B429</f>
        <v>2.2999999999999998</v>
      </c>
      <c r="C436" s="190">
        <f>G422</f>
        <v>1</v>
      </c>
    </row>
    <row r="437" spans="1:7" ht="15.7" x14ac:dyDescent="0.5">
      <c r="A437" s="190" t="s">
        <v>244</v>
      </c>
      <c r="B437" s="190">
        <f>B435</f>
        <v>4.3</v>
      </c>
      <c r="C437" s="190">
        <f>G422</f>
        <v>1</v>
      </c>
    </row>
    <row r="439" spans="1:7" ht="18" x14ac:dyDescent="0.5">
      <c r="A439" s="189" t="s">
        <v>269</v>
      </c>
      <c r="B439" s="190" t="s">
        <v>227</v>
      </c>
      <c r="C439" s="190" t="s">
        <v>228</v>
      </c>
      <c r="D439">
        <f>'[1](6)'!A5</f>
        <v>0</v>
      </c>
      <c r="E439">
        <f>'[1](6)'!C5</f>
        <v>0</v>
      </c>
      <c r="F439">
        <f>'[1](6)'!D5</f>
        <v>0.7</v>
      </c>
      <c r="G439">
        <f>'[1](6)'!E5</f>
        <v>1</v>
      </c>
    </row>
    <row r="440" spans="1:7" ht="15.7" x14ac:dyDescent="0.5">
      <c r="A440" s="190">
        <v>1</v>
      </c>
      <c r="B440" s="190">
        <v>2</v>
      </c>
      <c r="C440" s="190">
        <v>3</v>
      </c>
    </row>
    <row r="441" spans="1:7" ht="15.7" x14ac:dyDescent="0.5">
      <c r="A441" s="190" t="s">
        <v>231</v>
      </c>
      <c r="B441" s="190">
        <v>0</v>
      </c>
      <c r="C441" s="190">
        <v>0</v>
      </c>
    </row>
    <row r="442" spans="1:7" ht="15.7" x14ac:dyDescent="0.5">
      <c r="A442" s="190" t="s">
        <v>232</v>
      </c>
      <c r="B442" s="190">
        <f>D439+E439</f>
        <v>0</v>
      </c>
      <c r="C442" s="190">
        <v>0</v>
      </c>
    </row>
    <row r="443" spans="1:7" ht="15.7" x14ac:dyDescent="0.5">
      <c r="A443" s="190" t="s">
        <v>233</v>
      </c>
      <c r="B443" s="190">
        <v>0</v>
      </c>
      <c r="C443" s="190">
        <f>3*G439</f>
        <v>3</v>
      </c>
    </row>
    <row r="444" spans="1:7" ht="15.7" x14ac:dyDescent="0.5">
      <c r="A444" s="190" t="s">
        <v>234</v>
      </c>
      <c r="B444" s="190">
        <v>0</v>
      </c>
      <c r="C444" s="190">
        <f>4*G439</f>
        <v>4</v>
      </c>
    </row>
    <row r="445" spans="1:7" ht="15.7" x14ac:dyDescent="0.5">
      <c r="A445" s="190" t="s">
        <v>235</v>
      </c>
      <c r="B445" s="190">
        <f>D439+D439+E439-(F439*G439)</f>
        <v>-0.7</v>
      </c>
      <c r="C445" s="190">
        <f>VLOOKUP($G$439,$A$273:$B$274,$B$272,0)</f>
        <v>3</v>
      </c>
    </row>
    <row r="446" spans="1:7" ht="15.7" x14ac:dyDescent="0.5">
      <c r="A446" s="190" t="s">
        <v>236</v>
      </c>
      <c r="B446" s="190">
        <f>D439+E439-(F439*G439)</f>
        <v>-0.7</v>
      </c>
      <c r="C446" s="190">
        <f>C445</f>
        <v>3</v>
      </c>
    </row>
    <row r="447" spans="1:7" ht="15.7" x14ac:dyDescent="0.5">
      <c r="A447" s="193" t="s">
        <v>237</v>
      </c>
      <c r="B447" s="190">
        <f>B446</f>
        <v>-0.7</v>
      </c>
      <c r="C447" s="190">
        <f>C445</f>
        <v>3</v>
      </c>
    </row>
    <row r="448" spans="1:7" ht="15.7" x14ac:dyDescent="0.5">
      <c r="A448" s="193" t="s">
        <v>238</v>
      </c>
      <c r="B448" s="190">
        <f>B445</f>
        <v>-0.7</v>
      </c>
      <c r="C448" s="190">
        <f>C445</f>
        <v>3</v>
      </c>
    </row>
    <row r="449" spans="1:7" ht="15.7" x14ac:dyDescent="0.5">
      <c r="A449" s="193" t="s">
        <v>239</v>
      </c>
      <c r="B449" s="190">
        <f t="shared" ref="B449" si="9">B448</f>
        <v>-0.7</v>
      </c>
      <c r="C449" s="190">
        <f>C445</f>
        <v>3</v>
      </c>
    </row>
    <row r="450" spans="1:7" ht="15.7" x14ac:dyDescent="0.5">
      <c r="A450" s="190" t="s">
        <v>240</v>
      </c>
      <c r="B450" s="190">
        <f>B449</f>
        <v>-0.7</v>
      </c>
      <c r="C450" s="190">
        <f>C445</f>
        <v>3</v>
      </c>
    </row>
    <row r="451" spans="1:7" ht="15.7" x14ac:dyDescent="0.5">
      <c r="A451" s="190" t="s">
        <v>241</v>
      </c>
      <c r="B451" s="190">
        <f>B449</f>
        <v>-0.7</v>
      </c>
      <c r="C451" s="190">
        <f>C445</f>
        <v>3</v>
      </c>
    </row>
    <row r="452" spans="1:7" ht="15.7" x14ac:dyDescent="0.5">
      <c r="A452" s="190" t="s">
        <v>242</v>
      </c>
      <c r="B452" s="190">
        <f>B450</f>
        <v>-0.7</v>
      </c>
      <c r="C452" s="190">
        <f>C451</f>
        <v>3</v>
      </c>
    </row>
    <row r="453" spans="1:7" ht="15.7" x14ac:dyDescent="0.5">
      <c r="A453" s="190" t="s">
        <v>243</v>
      </c>
      <c r="B453" s="190">
        <f>B446</f>
        <v>-0.7</v>
      </c>
      <c r="C453" s="190">
        <f>G439</f>
        <v>1</v>
      </c>
    </row>
    <row r="454" spans="1:7" ht="15.7" x14ac:dyDescent="0.5">
      <c r="A454" s="190" t="s">
        <v>244</v>
      </c>
      <c r="B454" s="190">
        <f>B452</f>
        <v>-0.7</v>
      </c>
      <c r="C454" s="190">
        <f>G439</f>
        <v>1</v>
      </c>
    </row>
    <row r="456" spans="1:7" ht="18" x14ac:dyDescent="0.5">
      <c r="A456" s="189" t="s">
        <v>270</v>
      </c>
      <c r="B456" s="190" t="s">
        <v>227</v>
      </c>
      <c r="C456" s="190" t="s">
        <v>228</v>
      </c>
      <c r="D456">
        <f>'[1](7)'!A5</f>
        <v>0</v>
      </c>
      <c r="E456">
        <f>'[1](7)'!C5</f>
        <v>0</v>
      </c>
      <c r="F456">
        <f>'[1](7)'!D5</f>
        <v>0.7</v>
      </c>
      <c r="G456">
        <f>'[1](7)'!E5</f>
        <v>1</v>
      </c>
    </row>
    <row r="457" spans="1:7" ht="15.7" x14ac:dyDescent="0.5">
      <c r="A457" s="190">
        <v>1</v>
      </c>
      <c r="B457" s="190">
        <v>2</v>
      </c>
      <c r="C457" s="190">
        <v>3</v>
      </c>
    </row>
    <row r="458" spans="1:7" ht="15.7" x14ac:dyDescent="0.5">
      <c r="A458" s="190" t="s">
        <v>231</v>
      </c>
      <c r="B458" s="190">
        <v>0</v>
      </c>
      <c r="C458" s="190">
        <v>0</v>
      </c>
    </row>
    <row r="459" spans="1:7" ht="15.7" x14ac:dyDescent="0.5">
      <c r="A459" s="190" t="s">
        <v>232</v>
      </c>
      <c r="B459" s="190">
        <f>D456+E456</f>
        <v>0</v>
      </c>
      <c r="C459" s="190">
        <v>0</v>
      </c>
    </row>
    <row r="460" spans="1:7" ht="15.7" x14ac:dyDescent="0.5">
      <c r="A460" s="190" t="s">
        <v>233</v>
      </c>
      <c r="B460" s="190">
        <v>0</v>
      </c>
      <c r="C460" s="190">
        <f>3*G456</f>
        <v>3</v>
      </c>
    </row>
    <row r="461" spans="1:7" ht="15.7" x14ac:dyDescent="0.5">
      <c r="A461" s="190" t="s">
        <v>234</v>
      </c>
      <c r="B461" s="190">
        <v>0</v>
      </c>
      <c r="C461" s="190">
        <f>4*G456</f>
        <v>4</v>
      </c>
    </row>
    <row r="462" spans="1:7" ht="15.7" x14ac:dyDescent="0.5">
      <c r="A462" s="190" t="s">
        <v>235</v>
      </c>
      <c r="B462" s="190">
        <f>D456+D456+E456-(F456*G456)</f>
        <v>-0.7</v>
      </c>
      <c r="C462" s="190">
        <f>VLOOKUP($G$456,$A$273:$B$274,$B$272,0)</f>
        <v>3</v>
      </c>
    </row>
    <row r="463" spans="1:7" ht="15.7" x14ac:dyDescent="0.5">
      <c r="A463" s="190" t="s">
        <v>236</v>
      </c>
      <c r="B463" s="190">
        <f>D456+E456-(F456*G456)</f>
        <v>-0.7</v>
      </c>
      <c r="C463" s="190">
        <f>C462</f>
        <v>3</v>
      </c>
    </row>
    <row r="464" spans="1:7" ht="15.7" x14ac:dyDescent="0.5">
      <c r="A464" s="193" t="s">
        <v>237</v>
      </c>
      <c r="B464" s="190">
        <f>B463</f>
        <v>-0.7</v>
      </c>
      <c r="C464" s="190">
        <f>C462</f>
        <v>3</v>
      </c>
    </row>
    <row r="465" spans="1:7" ht="15.7" x14ac:dyDescent="0.5">
      <c r="A465" s="193" t="s">
        <v>238</v>
      </c>
      <c r="B465" s="190">
        <f>B462</f>
        <v>-0.7</v>
      </c>
      <c r="C465" s="190">
        <f>C462</f>
        <v>3</v>
      </c>
    </row>
    <row r="466" spans="1:7" ht="15.7" x14ac:dyDescent="0.5">
      <c r="A466" s="193" t="s">
        <v>239</v>
      </c>
      <c r="B466" s="190">
        <f t="shared" ref="B466" si="10">B465</f>
        <v>-0.7</v>
      </c>
      <c r="C466" s="190">
        <f>C462</f>
        <v>3</v>
      </c>
    </row>
    <row r="467" spans="1:7" ht="15.7" x14ac:dyDescent="0.5">
      <c r="A467" s="190" t="s">
        <v>240</v>
      </c>
      <c r="B467" s="190">
        <f>B466</f>
        <v>-0.7</v>
      </c>
      <c r="C467" s="190">
        <f>C462</f>
        <v>3</v>
      </c>
    </row>
    <row r="468" spans="1:7" ht="15.7" x14ac:dyDescent="0.5">
      <c r="A468" s="190" t="s">
        <v>241</v>
      </c>
      <c r="B468" s="190">
        <f>B466</f>
        <v>-0.7</v>
      </c>
      <c r="C468" s="190">
        <f>C462</f>
        <v>3</v>
      </c>
    </row>
    <row r="469" spans="1:7" ht="15.7" x14ac:dyDescent="0.5">
      <c r="A469" s="190" t="s">
        <v>242</v>
      </c>
      <c r="B469" s="190">
        <f>B467</f>
        <v>-0.7</v>
      </c>
      <c r="C469" s="190">
        <f>C468</f>
        <v>3</v>
      </c>
    </row>
    <row r="470" spans="1:7" ht="15.7" x14ac:dyDescent="0.5">
      <c r="A470" s="190" t="s">
        <v>243</v>
      </c>
      <c r="B470" s="190">
        <f>B463</f>
        <v>-0.7</v>
      </c>
      <c r="C470" s="190">
        <f>G456</f>
        <v>1</v>
      </c>
    </row>
    <row r="471" spans="1:7" ht="15.7" x14ac:dyDescent="0.5">
      <c r="A471" s="190" t="s">
        <v>244</v>
      </c>
      <c r="B471" s="190">
        <f>B469</f>
        <v>-0.7</v>
      </c>
      <c r="C471" s="190">
        <f>G456</f>
        <v>1</v>
      </c>
    </row>
    <row r="473" spans="1:7" ht="18" x14ac:dyDescent="0.5">
      <c r="A473" s="189" t="s">
        <v>271</v>
      </c>
      <c r="B473" s="190" t="s">
        <v>227</v>
      </c>
      <c r="C473" s="190" t="s">
        <v>228</v>
      </c>
      <c r="D473">
        <f>'[1](8)'!A5</f>
        <v>0</v>
      </c>
      <c r="E473">
        <f>'[1](8)'!C5</f>
        <v>0</v>
      </c>
      <c r="F473">
        <f>'[1](8)'!D5</f>
        <v>0.7</v>
      </c>
      <c r="G473">
        <f>'[1](8)'!E5</f>
        <v>1</v>
      </c>
    </row>
    <row r="474" spans="1:7" ht="15.7" x14ac:dyDescent="0.5">
      <c r="A474" s="190">
        <v>1</v>
      </c>
      <c r="B474" s="190">
        <v>2</v>
      </c>
      <c r="C474" s="190">
        <v>3</v>
      </c>
    </row>
    <row r="475" spans="1:7" ht="15.7" x14ac:dyDescent="0.5">
      <c r="A475" s="190" t="s">
        <v>231</v>
      </c>
      <c r="B475" s="190">
        <v>0</v>
      </c>
      <c r="C475" s="190">
        <v>0</v>
      </c>
    </row>
    <row r="476" spans="1:7" ht="15.7" x14ac:dyDescent="0.5">
      <c r="A476" s="190" t="s">
        <v>232</v>
      </c>
      <c r="B476" s="190">
        <f>D473+E473</f>
        <v>0</v>
      </c>
      <c r="C476" s="190">
        <v>0</v>
      </c>
    </row>
    <row r="477" spans="1:7" ht="15.7" x14ac:dyDescent="0.5">
      <c r="A477" s="190" t="s">
        <v>233</v>
      </c>
      <c r="B477" s="190">
        <v>0</v>
      </c>
      <c r="C477" s="190">
        <f>3*G473</f>
        <v>3</v>
      </c>
    </row>
    <row r="478" spans="1:7" ht="15.7" x14ac:dyDescent="0.5">
      <c r="A478" s="190" t="s">
        <v>234</v>
      </c>
      <c r="B478" s="190">
        <v>0</v>
      </c>
      <c r="C478" s="190">
        <f>4*G473</f>
        <v>4</v>
      </c>
    </row>
    <row r="479" spans="1:7" ht="15.7" x14ac:dyDescent="0.5">
      <c r="A479" s="190" t="s">
        <v>235</v>
      </c>
      <c r="B479" s="190">
        <f>D473+D473+E473-(F473*G473)</f>
        <v>-0.7</v>
      </c>
      <c r="C479" s="190">
        <f>VLOOKUP($G$473,$A$273:$B$274,$B$272,0)</f>
        <v>3</v>
      </c>
    </row>
    <row r="480" spans="1:7" ht="15.7" x14ac:dyDescent="0.5">
      <c r="A480" s="190" t="s">
        <v>236</v>
      </c>
      <c r="B480" s="190">
        <f>D473+E473-(F473*G473)</f>
        <v>-0.7</v>
      </c>
      <c r="C480" s="190">
        <f>C479</f>
        <v>3</v>
      </c>
    </row>
    <row r="481" spans="1:7" ht="15.7" x14ac:dyDescent="0.5">
      <c r="A481" s="193" t="s">
        <v>237</v>
      </c>
      <c r="B481" s="190">
        <f>B480</f>
        <v>-0.7</v>
      </c>
      <c r="C481" s="190">
        <f>C479</f>
        <v>3</v>
      </c>
    </row>
    <row r="482" spans="1:7" ht="15.7" x14ac:dyDescent="0.5">
      <c r="A482" s="193" t="s">
        <v>238</v>
      </c>
      <c r="B482" s="190">
        <f>B479</f>
        <v>-0.7</v>
      </c>
      <c r="C482" s="190">
        <f>C479</f>
        <v>3</v>
      </c>
    </row>
    <row r="483" spans="1:7" ht="15.7" x14ac:dyDescent="0.5">
      <c r="A483" s="193" t="s">
        <v>239</v>
      </c>
      <c r="B483" s="190">
        <f t="shared" ref="B483" si="11">B482</f>
        <v>-0.7</v>
      </c>
      <c r="C483" s="190">
        <f>C479</f>
        <v>3</v>
      </c>
    </row>
    <row r="484" spans="1:7" ht="15.7" x14ac:dyDescent="0.5">
      <c r="A484" s="190" t="s">
        <v>240</v>
      </c>
      <c r="B484" s="190">
        <f>B483</f>
        <v>-0.7</v>
      </c>
      <c r="C484" s="190">
        <f>C479</f>
        <v>3</v>
      </c>
    </row>
    <row r="485" spans="1:7" ht="15.7" x14ac:dyDescent="0.5">
      <c r="A485" s="190" t="s">
        <v>241</v>
      </c>
      <c r="B485" s="190">
        <f>B483</f>
        <v>-0.7</v>
      </c>
      <c r="C485" s="190">
        <f>C479</f>
        <v>3</v>
      </c>
    </row>
    <row r="486" spans="1:7" ht="15.7" x14ac:dyDescent="0.5">
      <c r="A486" s="190" t="s">
        <v>242</v>
      </c>
      <c r="B486" s="190">
        <f>B484</f>
        <v>-0.7</v>
      </c>
      <c r="C486" s="190">
        <f>C485</f>
        <v>3</v>
      </c>
    </row>
    <row r="487" spans="1:7" ht="15.7" x14ac:dyDescent="0.5">
      <c r="A487" s="190" t="s">
        <v>243</v>
      </c>
      <c r="B487" s="190">
        <f>B480</f>
        <v>-0.7</v>
      </c>
      <c r="C487" s="190">
        <f>G473</f>
        <v>1</v>
      </c>
    </row>
    <row r="488" spans="1:7" ht="15.7" x14ac:dyDescent="0.5">
      <c r="A488" s="190" t="s">
        <v>244</v>
      </c>
      <c r="B488" s="190">
        <f>B486</f>
        <v>-0.7</v>
      </c>
      <c r="C488" s="190">
        <f>G473</f>
        <v>1</v>
      </c>
    </row>
    <row r="490" spans="1:7" ht="18" x14ac:dyDescent="0.5">
      <c r="A490" s="189" t="s">
        <v>272</v>
      </c>
      <c r="B490" s="190" t="s">
        <v>227</v>
      </c>
      <c r="C490" s="190" t="s">
        <v>228</v>
      </c>
      <c r="D490">
        <f>'[1](9)'!A5</f>
        <v>0</v>
      </c>
      <c r="E490">
        <f>'[1](9)'!C5</f>
        <v>0</v>
      </c>
      <c r="F490">
        <f>'[1](9)'!D5</f>
        <v>0.7</v>
      </c>
      <c r="G490">
        <f>'[1](9)'!E5</f>
        <v>1</v>
      </c>
    </row>
    <row r="491" spans="1:7" ht="15.7" x14ac:dyDescent="0.5">
      <c r="A491" s="190">
        <v>1</v>
      </c>
      <c r="B491" s="190">
        <v>2</v>
      </c>
      <c r="C491" s="190">
        <v>3</v>
      </c>
    </row>
    <row r="492" spans="1:7" ht="15.7" x14ac:dyDescent="0.5">
      <c r="A492" s="190" t="s">
        <v>231</v>
      </c>
      <c r="B492" s="190">
        <v>0</v>
      </c>
      <c r="C492" s="190">
        <v>0</v>
      </c>
    </row>
    <row r="493" spans="1:7" ht="15.7" x14ac:dyDescent="0.5">
      <c r="A493" s="190" t="s">
        <v>232</v>
      </c>
      <c r="B493" s="190">
        <f>D490+E490</f>
        <v>0</v>
      </c>
      <c r="C493" s="190">
        <v>0</v>
      </c>
    </row>
    <row r="494" spans="1:7" ht="15.7" x14ac:dyDescent="0.5">
      <c r="A494" s="190" t="s">
        <v>233</v>
      </c>
      <c r="B494" s="190">
        <v>0</v>
      </c>
      <c r="C494" s="190">
        <f>3*G490</f>
        <v>3</v>
      </c>
    </row>
    <row r="495" spans="1:7" ht="15.7" x14ac:dyDescent="0.5">
      <c r="A495" s="190" t="s">
        <v>234</v>
      </c>
      <c r="B495" s="190">
        <v>0</v>
      </c>
      <c r="C495" s="190">
        <f>4*G490</f>
        <v>4</v>
      </c>
    </row>
    <row r="496" spans="1:7" ht="15.7" x14ac:dyDescent="0.5">
      <c r="A496" s="190" t="s">
        <v>235</v>
      </c>
      <c r="B496" s="190">
        <f>D490+D490+E490-(F490*G490)</f>
        <v>-0.7</v>
      </c>
      <c r="C496" s="190">
        <f>VLOOKUP($G$490,$A$273:$B$274,$B$272,0)</f>
        <v>3</v>
      </c>
    </row>
    <row r="497" spans="1:7" ht="15.7" x14ac:dyDescent="0.5">
      <c r="A497" s="190" t="s">
        <v>236</v>
      </c>
      <c r="B497" s="190">
        <f>D490+E490-(F490*G490)</f>
        <v>-0.7</v>
      </c>
      <c r="C497" s="190">
        <f>C496</f>
        <v>3</v>
      </c>
    </row>
    <row r="498" spans="1:7" ht="15.7" x14ac:dyDescent="0.5">
      <c r="A498" s="193" t="s">
        <v>237</v>
      </c>
      <c r="B498" s="190">
        <f>B497</f>
        <v>-0.7</v>
      </c>
      <c r="C498" s="190">
        <f>C496</f>
        <v>3</v>
      </c>
    </row>
    <row r="499" spans="1:7" ht="15.7" x14ac:dyDescent="0.5">
      <c r="A499" s="193" t="s">
        <v>238</v>
      </c>
      <c r="B499" s="190">
        <f>B496</f>
        <v>-0.7</v>
      </c>
      <c r="C499" s="190">
        <f>C496</f>
        <v>3</v>
      </c>
    </row>
    <row r="500" spans="1:7" ht="15.7" x14ac:dyDescent="0.5">
      <c r="A500" s="193" t="s">
        <v>239</v>
      </c>
      <c r="B500" s="190">
        <f t="shared" ref="B500" si="12">B499</f>
        <v>-0.7</v>
      </c>
      <c r="C500" s="190">
        <f>C496</f>
        <v>3</v>
      </c>
    </row>
    <row r="501" spans="1:7" ht="15.7" x14ac:dyDescent="0.5">
      <c r="A501" s="190" t="s">
        <v>240</v>
      </c>
      <c r="B501" s="190">
        <f>B500</f>
        <v>-0.7</v>
      </c>
      <c r="C501" s="190">
        <f>C496</f>
        <v>3</v>
      </c>
    </row>
    <row r="502" spans="1:7" ht="15.7" x14ac:dyDescent="0.5">
      <c r="A502" s="190" t="s">
        <v>241</v>
      </c>
      <c r="B502" s="190">
        <f>B500</f>
        <v>-0.7</v>
      </c>
      <c r="C502" s="190">
        <f>C496</f>
        <v>3</v>
      </c>
    </row>
    <row r="503" spans="1:7" ht="15.7" x14ac:dyDescent="0.5">
      <c r="A503" s="190" t="s">
        <v>242</v>
      </c>
      <c r="B503" s="190">
        <f>B501</f>
        <v>-0.7</v>
      </c>
      <c r="C503" s="190">
        <f>C502</f>
        <v>3</v>
      </c>
    </row>
    <row r="504" spans="1:7" ht="15.7" x14ac:dyDescent="0.5">
      <c r="A504" s="190" t="s">
        <v>243</v>
      </c>
      <c r="B504" s="190">
        <f>B497</f>
        <v>-0.7</v>
      </c>
      <c r="C504" s="190">
        <f>G490</f>
        <v>1</v>
      </c>
    </row>
    <row r="505" spans="1:7" ht="15.7" x14ac:dyDescent="0.5">
      <c r="A505" s="190" t="s">
        <v>244</v>
      </c>
      <c r="B505" s="190">
        <f>B503</f>
        <v>-0.7</v>
      </c>
      <c r="C505" s="190">
        <f>G490</f>
        <v>1</v>
      </c>
    </row>
    <row r="507" spans="1:7" ht="18" x14ac:dyDescent="0.5">
      <c r="A507" s="189" t="s">
        <v>273</v>
      </c>
      <c r="B507" s="190" t="s">
        <v>227</v>
      </c>
      <c r="C507" s="190" t="s">
        <v>228</v>
      </c>
      <c r="D507">
        <f>'[1](10)'!A5</f>
        <v>0</v>
      </c>
      <c r="E507">
        <f>'[1](10)'!C5</f>
        <v>0</v>
      </c>
      <c r="F507">
        <f>'[1](10)'!D5</f>
        <v>0.7</v>
      </c>
      <c r="G507">
        <f>'[1](10)'!E5</f>
        <v>1</v>
      </c>
    </row>
    <row r="508" spans="1:7" ht="15.7" x14ac:dyDescent="0.5">
      <c r="A508" s="190">
        <v>1</v>
      </c>
      <c r="B508" s="190">
        <v>2</v>
      </c>
      <c r="C508" s="190">
        <v>3</v>
      </c>
    </row>
    <row r="509" spans="1:7" ht="15.7" x14ac:dyDescent="0.5">
      <c r="A509" s="190" t="s">
        <v>231</v>
      </c>
      <c r="B509" s="190">
        <v>0</v>
      </c>
      <c r="C509" s="190">
        <v>0</v>
      </c>
    </row>
    <row r="510" spans="1:7" ht="15.7" x14ac:dyDescent="0.5">
      <c r="A510" s="190" t="s">
        <v>232</v>
      </c>
      <c r="B510" s="190">
        <f>D507+E507</f>
        <v>0</v>
      </c>
      <c r="C510" s="190">
        <v>0</v>
      </c>
    </row>
    <row r="511" spans="1:7" ht="15.7" x14ac:dyDescent="0.5">
      <c r="A511" s="190" t="s">
        <v>233</v>
      </c>
      <c r="B511" s="190">
        <v>0</v>
      </c>
      <c r="C511" s="190">
        <f>3*G507</f>
        <v>3</v>
      </c>
    </row>
    <row r="512" spans="1:7" ht="15.7" x14ac:dyDescent="0.5">
      <c r="A512" s="190" t="s">
        <v>234</v>
      </c>
      <c r="B512" s="190">
        <v>0</v>
      </c>
      <c r="C512" s="190">
        <f>4*G507</f>
        <v>4</v>
      </c>
    </row>
    <row r="513" spans="1:3" ht="15.7" x14ac:dyDescent="0.5">
      <c r="A513" s="190" t="s">
        <v>235</v>
      </c>
      <c r="B513" s="190">
        <f>D507+D507+E507-(F507*G507)</f>
        <v>-0.7</v>
      </c>
      <c r="C513" s="190">
        <f>VLOOKUP($G$507,$A$273:$B$274,$B$272,0)</f>
        <v>3</v>
      </c>
    </row>
    <row r="514" spans="1:3" ht="15.7" x14ac:dyDescent="0.5">
      <c r="A514" s="190" t="s">
        <v>236</v>
      </c>
      <c r="B514" s="190">
        <f>D507+E507-(F507*G507)</f>
        <v>-0.7</v>
      </c>
      <c r="C514" s="190">
        <f>C513</f>
        <v>3</v>
      </c>
    </row>
    <row r="515" spans="1:3" ht="15.7" x14ac:dyDescent="0.5">
      <c r="A515" s="193" t="s">
        <v>237</v>
      </c>
      <c r="B515" s="190">
        <f>B514</f>
        <v>-0.7</v>
      </c>
      <c r="C515" s="190">
        <f>C513</f>
        <v>3</v>
      </c>
    </row>
    <row r="516" spans="1:3" ht="15.7" x14ac:dyDescent="0.5">
      <c r="A516" s="193" t="s">
        <v>238</v>
      </c>
      <c r="B516" s="190">
        <f>B513</f>
        <v>-0.7</v>
      </c>
      <c r="C516" s="190">
        <f>C513</f>
        <v>3</v>
      </c>
    </row>
    <row r="517" spans="1:3" ht="15.7" x14ac:dyDescent="0.5">
      <c r="A517" s="193" t="s">
        <v>239</v>
      </c>
      <c r="B517" s="190">
        <f t="shared" ref="B517" si="13">B516</f>
        <v>-0.7</v>
      </c>
      <c r="C517" s="190">
        <f>C513</f>
        <v>3</v>
      </c>
    </row>
    <row r="518" spans="1:3" ht="15.7" x14ac:dyDescent="0.5">
      <c r="A518" s="190" t="s">
        <v>240</v>
      </c>
      <c r="B518" s="190">
        <f>B517</f>
        <v>-0.7</v>
      </c>
      <c r="C518" s="190">
        <f>C513</f>
        <v>3</v>
      </c>
    </row>
    <row r="519" spans="1:3" ht="15.7" x14ac:dyDescent="0.5">
      <c r="A519" s="190" t="s">
        <v>241</v>
      </c>
      <c r="B519" s="190">
        <f>B517</f>
        <v>-0.7</v>
      </c>
      <c r="C519" s="190">
        <f>C513</f>
        <v>3</v>
      </c>
    </row>
    <row r="520" spans="1:3" ht="15.7" x14ac:dyDescent="0.5">
      <c r="A520" s="190" t="s">
        <v>242</v>
      </c>
      <c r="B520" s="190">
        <f>B518</f>
        <v>-0.7</v>
      </c>
      <c r="C520" s="190">
        <f>C519</f>
        <v>3</v>
      </c>
    </row>
    <row r="521" spans="1:3" ht="15.7" x14ac:dyDescent="0.5">
      <c r="A521" s="190" t="s">
        <v>243</v>
      </c>
      <c r="B521" s="190">
        <f>B514</f>
        <v>-0.7</v>
      </c>
      <c r="C521" s="190">
        <f>G507</f>
        <v>1</v>
      </c>
    </row>
    <row r="522" spans="1:3" ht="15.7" x14ac:dyDescent="0.5">
      <c r="A522" s="190" t="s">
        <v>244</v>
      </c>
      <c r="B522" s="190">
        <f>B520</f>
        <v>-0.7</v>
      </c>
      <c r="C522" s="190">
        <f>G507</f>
        <v>1</v>
      </c>
    </row>
    <row r="523" spans="1:3" x14ac:dyDescent="0.5">
      <c r="A523">
        <v>1</v>
      </c>
    </row>
    <row r="524" spans="1:3" ht="15.7" x14ac:dyDescent="0.5">
      <c r="A524" s="202">
        <v>1</v>
      </c>
      <c r="B524" s="202">
        <v>2</v>
      </c>
    </row>
    <row r="525" spans="1:3" ht="15.7" x14ac:dyDescent="0.5">
      <c r="A525" s="203" t="s">
        <v>274</v>
      </c>
      <c r="B525" s="203">
        <f>'[1](1)'!H16</f>
        <v>80</v>
      </c>
    </row>
    <row r="526" spans="1:3" ht="15.7" x14ac:dyDescent="0.5">
      <c r="A526" s="203" t="s">
        <v>275</v>
      </c>
      <c r="B526" s="203">
        <v>0</v>
      </c>
    </row>
    <row r="527" spans="1:3" ht="15.7" x14ac:dyDescent="0.5">
      <c r="A527" s="203"/>
      <c r="B527" s="203"/>
    </row>
    <row r="528" spans="1:3" x14ac:dyDescent="0.5">
      <c r="A528">
        <v>2</v>
      </c>
    </row>
    <row r="529" spans="1:2" ht="15.7" x14ac:dyDescent="0.5">
      <c r="A529" s="202">
        <v>1</v>
      </c>
      <c r="B529" s="202">
        <v>2</v>
      </c>
    </row>
    <row r="530" spans="1:2" ht="15.7" x14ac:dyDescent="0.5">
      <c r="A530" s="203" t="s">
        <v>274</v>
      </c>
      <c r="B530" s="203">
        <f>'[1](2)'!H16</f>
        <v>120</v>
      </c>
    </row>
    <row r="531" spans="1:2" ht="15.7" x14ac:dyDescent="0.5">
      <c r="A531" s="203" t="s">
        <v>275</v>
      </c>
      <c r="B531" s="203">
        <v>0</v>
      </c>
    </row>
    <row r="532" spans="1:2" ht="15.7" x14ac:dyDescent="0.5">
      <c r="A532" s="203"/>
      <c r="B532" s="203"/>
    </row>
    <row r="533" spans="1:2" x14ac:dyDescent="0.5">
      <c r="A533">
        <v>3</v>
      </c>
    </row>
    <row r="534" spans="1:2" ht="15.7" x14ac:dyDescent="0.5">
      <c r="A534" s="202">
        <v>1</v>
      </c>
      <c r="B534" s="202">
        <v>2</v>
      </c>
    </row>
    <row r="535" spans="1:2" ht="15.7" x14ac:dyDescent="0.5">
      <c r="A535" s="203" t="s">
        <v>274</v>
      </c>
      <c r="B535" s="203">
        <f>'[1](3)'!H16</f>
        <v>90</v>
      </c>
    </row>
    <row r="536" spans="1:2" ht="15.7" x14ac:dyDescent="0.5">
      <c r="A536" s="203" t="s">
        <v>275</v>
      </c>
      <c r="B536" s="203">
        <v>0</v>
      </c>
    </row>
    <row r="537" spans="1:2" ht="15.7" x14ac:dyDescent="0.5">
      <c r="A537" s="203"/>
      <c r="B537" s="203"/>
    </row>
    <row r="538" spans="1:2" x14ac:dyDescent="0.5">
      <c r="A538">
        <v>4</v>
      </c>
    </row>
    <row r="539" spans="1:2" ht="15.7" x14ac:dyDescent="0.5">
      <c r="A539" s="202">
        <v>1</v>
      </c>
      <c r="B539" s="202">
        <v>2</v>
      </c>
    </row>
    <row r="540" spans="1:2" ht="15.7" x14ac:dyDescent="0.5">
      <c r="A540" s="203" t="s">
        <v>274</v>
      </c>
      <c r="B540" s="203">
        <f>'[1](4)'!H16</f>
        <v>0</v>
      </c>
    </row>
    <row r="541" spans="1:2" ht="15.7" x14ac:dyDescent="0.5">
      <c r="A541" s="203" t="s">
        <v>275</v>
      </c>
      <c r="B541" s="203">
        <v>0</v>
      </c>
    </row>
    <row r="542" spans="1:2" ht="15.7" x14ac:dyDescent="0.5">
      <c r="A542" s="203"/>
      <c r="B542" s="203"/>
    </row>
    <row r="543" spans="1:2" x14ac:dyDescent="0.5">
      <c r="A543">
        <v>5</v>
      </c>
    </row>
    <row r="544" spans="1:2" ht="15.7" x14ac:dyDescent="0.5">
      <c r="A544" s="202">
        <v>1</v>
      </c>
      <c r="B544" s="202">
        <v>2</v>
      </c>
    </row>
    <row r="545" spans="1:2" ht="15.7" x14ac:dyDescent="0.5">
      <c r="A545" s="203" t="s">
        <v>274</v>
      </c>
      <c r="B545" s="203">
        <f>'[1](5)'!H16</f>
        <v>0</v>
      </c>
    </row>
    <row r="546" spans="1:2" ht="15.7" x14ac:dyDescent="0.5">
      <c r="A546" s="203" t="s">
        <v>275</v>
      </c>
      <c r="B546" s="203">
        <v>0</v>
      </c>
    </row>
    <row r="547" spans="1:2" ht="15.7" x14ac:dyDescent="0.5">
      <c r="A547" s="203"/>
      <c r="B547" s="203"/>
    </row>
    <row r="548" spans="1:2" x14ac:dyDescent="0.5">
      <c r="A548">
        <v>6</v>
      </c>
    </row>
    <row r="549" spans="1:2" ht="15.7" x14ac:dyDescent="0.5">
      <c r="A549" s="202">
        <v>1</v>
      </c>
      <c r="B549" s="202">
        <v>2</v>
      </c>
    </row>
    <row r="550" spans="1:2" ht="15.7" x14ac:dyDescent="0.5">
      <c r="A550" s="203" t="s">
        <v>274</v>
      </c>
      <c r="B550" s="203">
        <f>'[1](6)'!H16</f>
        <v>0</v>
      </c>
    </row>
    <row r="551" spans="1:2" ht="15.7" x14ac:dyDescent="0.5">
      <c r="A551" s="203" t="s">
        <v>275</v>
      </c>
      <c r="B551" s="203">
        <v>0</v>
      </c>
    </row>
    <row r="552" spans="1:2" ht="15.7" x14ac:dyDescent="0.5">
      <c r="A552" s="203"/>
      <c r="B552" s="203"/>
    </row>
    <row r="553" spans="1:2" x14ac:dyDescent="0.5">
      <c r="A553">
        <v>7</v>
      </c>
    </row>
    <row r="554" spans="1:2" ht="15.7" x14ac:dyDescent="0.5">
      <c r="A554" s="202">
        <v>1</v>
      </c>
      <c r="B554" s="202">
        <v>2</v>
      </c>
    </row>
    <row r="555" spans="1:2" ht="15.7" x14ac:dyDescent="0.5">
      <c r="A555" s="203" t="s">
        <v>274</v>
      </c>
      <c r="B555" s="203">
        <f>'[1](7)'!H16</f>
        <v>0</v>
      </c>
    </row>
    <row r="556" spans="1:2" ht="15.7" x14ac:dyDescent="0.5">
      <c r="A556" s="203" t="s">
        <v>275</v>
      </c>
      <c r="B556" s="203">
        <v>0</v>
      </c>
    </row>
    <row r="557" spans="1:2" ht="15.7" x14ac:dyDescent="0.5">
      <c r="A557" s="203"/>
      <c r="B557" s="203"/>
    </row>
    <row r="558" spans="1:2" x14ac:dyDescent="0.5">
      <c r="A558">
        <v>8</v>
      </c>
    </row>
    <row r="559" spans="1:2" ht="15.7" x14ac:dyDescent="0.5">
      <c r="A559" s="202">
        <v>1</v>
      </c>
      <c r="B559" s="202">
        <v>2</v>
      </c>
    </row>
    <row r="560" spans="1:2" ht="15.7" x14ac:dyDescent="0.5">
      <c r="A560" s="203" t="s">
        <v>274</v>
      </c>
      <c r="B560" s="203">
        <f>'[1](8)'!H16</f>
        <v>0</v>
      </c>
    </row>
    <row r="561" spans="1:2" ht="15.7" x14ac:dyDescent="0.5">
      <c r="A561" s="203" t="s">
        <v>275</v>
      </c>
      <c r="B561" s="203">
        <v>0</v>
      </c>
    </row>
    <row r="562" spans="1:2" ht="15.7" x14ac:dyDescent="0.5">
      <c r="A562" s="203"/>
      <c r="B562" s="203"/>
    </row>
    <row r="564" spans="1:2" x14ac:dyDescent="0.5">
      <c r="A564">
        <v>9</v>
      </c>
    </row>
    <row r="565" spans="1:2" ht="15.7" x14ac:dyDescent="0.5">
      <c r="A565" s="202">
        <v>1</v>
      </c>
      <c r="B565" s="202">
        <v>2</v>
      </c>
    </row>
    <row r="566" spans="1:2" ht="15.7" x14ac:dyDescent="0.5">
      <c r="A566" s="203" t="s">
        <v>274</v>
      </c>
      <c r="B566" s="203">
        <f>'[1](9)'!H16</f>
        <v>0</v>
      </c>
    </row>
    <row r="567" spans="1:2" ht="15.7" x14ac:dyDescent="0.5">
      <c r="A567" s="203" t="s">
        <v>275</v>
      </c>
      <c r="B567" s="203">
        <v>0</v>
      </c>
    </row>
    <row r="568" spans="1:2" ht="15.7" x14ac:dyDescent="0.5">
      <c r="A568" s="203"/>
      <c r="B568" s="203"/>
    </row>
    <row r="570" spans="1:2" x14ac:dyDescent="0.5">
      <c r="A570">
        <v>10</v>
      </c>
    </row>
    <row r="571" spans="1:2" ht="15.7" x14ac:dyDescent="0.5">
      <c r="A571" s="202">
        <v>1</v>
      </c>
      <c r="B571" s="202">
        <v>2</v>
      </c>
    </row>
    <row r="572" spans="1:2" ht="15.7" x14ac:dyDescent="0.5">
      <c r="A572" s="203" t="s">
        <v>274</v>
      </c>
      <c r="B572" s="203">
        <f>'[1](10)'!H16</f>
        <v>0</v>
      </c>
    </row>
    <row r="573" spans="1:2" ht="15.7" x14ac:dyDescent="0.5">
      <c r="A573" s="203" t="s">
        <v>275</v>
      </c>
      <c r="B573" s="203">
        <v>0</v>
      </c>
    </row>
    <row r="574" spans="1:2" ht="15.7" x14ac:dyDescent="0.5">
      <c r="A574" s="203"/>
      <c r="B574" s="203"/>
    </row>
  </sheetData>
  <sheetProtection algorithmName="SHA-512" hashValue="beqgupbE92UlZN8CckR7FGSoiVGRBpG/fxDKRzHmjS2dCrh6pigEzpYs68l4ITa2nInPqP1kqofCHd1Yf961ng==" saltValue="egoIBviEoqJb5H57gwVWhA==" spinCount="100000" sheet="1" objects="1" scenarios="1"/>
  <mergeCells count="35">
    <mergeCell ref="A325:B325"/>
    <mergeCell ref="A332:B332"/>
    <mergeCell ref="A339:B339"/>
    <mergeCell ref="A346:B346"/>
    <mergeCell ref="A243:B243"/>
    <mergeCell ref="A290:B290"/>
    <mergeCell ref="A297:B297"/>
    <mergeCell ref="A304:B304"/>
    <mergeCell ref="A311:B311"/>
    <mergeCell ref="A318:B318"/>
    <mergeCell ref="A184:B184"/>
    <mergeCell ref="A195:B195"/>
    <mergeCell ref="A214:B214"/>
    <mergeCell ref="A222:B222"/>
    <mergeCell ref="A229:B229"/>
    <mergeCell ref="A236:B237"/>
    <mergeCell ref="D134:D135"/>
    <mergeCell ref="E134:F135"/>
    <mergeCell ref="A142:C143"/>
    <mergeCell ref="A152:C153"/>
    <mergeCell ref="F159:H160"/>
    <mergeCell ref="A171:B171"/>
    <mergeCell ref="L15:N16"/>
    <mergeCell ref="A72:B73"/>
    <mergeCell ref="A92:B93"/>
    <mergeCell ref="A112:B113"/>
    <mergeCell ref="A126:C127"/>
    <mergeCell ref="D126:D127"/>
    <mergeCell ref="E126:F127"/>
    <mergeCell ref="A1:B1"/>
    <mergeCell ref="C1:D1"/>
    <mergeCell ref="E1:H1"/>
    <mergeCell ref="I1:K1"/>
    <mergeCell ref="L1:N1"/>
    <mergeCell ref="O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Masster Database Pricing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Youssif Hammad</dc:creator>
  <cp:lastModifiedBy>Youssif Hammad</cp:lastModifiedBy>
  <dcterms:created xsi:type="dcterms:W3CDTF">2026-04-29T04:15:51Z</dcterms:created>
  <dcterms:modified xsi:type="dcterms:W3CDTF">2026-04-29T04:16:21Z</dcterms:modified>
</cp:coreProperties>
</file>