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E014378F-7CAE-4A9A-A29C-C614CC28E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هاندريل" sheetId="1" r:id="rId1"/>
    <sheet name="تجاليد" sheetId="2" r:id="rId2"/>
    <sheet name="زجاج منطبق" sheetId="3" r:id="rId3"/>
    <sheet name="أسقف زجاجية" sheetId="4" r:id="rId4"/>
    <sheet name="أرضيات زجاجية" sheetId="5" r:id="rId5"/>
    <sheet name="واجهات نمطية" sheetId="6" r:id="rId6"/>
    <sheet name="واجهات سبايدر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7" l="1"/>
  <c r="D12" i="7"/>
  <c r="C12" i="7" s="1"/>
  <c r="E11" i="7"/>
  <c r="C11" i="7"/>
  <c r="C10" i="7"/>
  <c r="E9" i="7"/>
  <c r="C9" i="7"/>
  <c r="C8" i="7"/>
  <c r="C7" i="7"/>
  <c r="E6" i="7"/>
  <c r="C6" i="7" s="1"/>
  <c r="E5" i="7"/>
  <c r="C5" i="7" s="1"/>
  <c r="C13" i="7" l="1"/>
  <c r="C15" i="7" s="1"/>
  <c r="C17" i="7" s="1"/>
  <c r="E6" i="6" l="1"/>
  <c r="C12" i="6"/>
  <c r="C14" i="6" s="1"/>
  <c r="C8" i="6"/>
  <c r="C7" i="6"/>
  <c r="F6" i="6"/>
  <c r="C6" i="6"/>
  <c r="F5" i="6"/>
  <c r="E5" i="6" s="1"/>
  <c r="C5" i="6" l="1"/>
  <c r="C9" i="6" s="1"/>
  <c r="C11" i="6" s="1"/>
  <c r="C15" i="6" s="1"/>
  <c r="C17" i="6" s="1"/>
  <c r="C16" i="6"/>
  <c r="D6" i="5"/>
  <c r="B6" i="5" s="1"/>
  <c r="B8" i="5"/>
  <c r="B7" i="5"/>
  <c r="D5" i="5"/>
  <c r="B5" i="5" s="1"/>
  <c r="B7" i="4"/>
  <c r="B6" i="4"/>
  <c r="D5" i="4"/>
  <c r="B5" i="4" s="1"/>
  <c r="D5" i="3"/>
  <c r="B5" i="3" s="1"/>
  <c r="B6" i="3" s="1"/>
  <c r="B8" i="3" s="1"/>
  <c r="D8" i="2"/>
  <c r="B8" i="2" s="1"/>
  <c r="B7" i="2"/>
  <c r="D6" i="2"/>
  <c r="B6" i="2" s="1"/>
  <c r="D5" i="2"/>
  <c r="B5" i="2" s="1"/>
  <c r="B9" i="2" s="1"/>
  <c r="B11" i="2" s="1"/>
  <c r="B9" i="5" l="1"/>
  <c r="B11" i="5" s="1"/>
  <c r="B8" i="4"/>
  <c r="B10" i="4" s="1"/>
  <c r="K11" i="1"/>
  <c r="I11" i="1" s="1"/>
  <c r="I12" i="1"/>
  <c r="I17" i="1"/>
  <c r="I13" i="1"/>
  <c r="K10" i="1"/>
  <c r="I10" i="1" s="1"/>
  <c r="B12" i="1"/>
  <c r="I14" i="1" l="1"/>
  <c r="I16" i="1" s="1"/>
  <c r="I18" i="1" s="1"/>
  <c r="B11" i="1"/>
  <c r="D10" i="1"/>
  <c r="B10" i="1" s="1"/>
  <c r="B13" i="1" s="1"/>
  <c r="B15" i="1" l="1"/>
</calcChain>
</file>

<file path=xl/sharedStrings.xml><?xml version="1.0" encoding="utf-8"?>
<sst xmlns="http://schemas.openxmlformats.org/spreadsheetml/2006/main" count="113" uniqueCount="42">
  <si>
    <t>السعر</t>
  </si>
  <si>
    <t>التكلفة</t>
  </si>
  <si>
    <t>الوحدة</t>
  </si>
  <si>
    <t xml:space="preserve">عرض </t>
  </si>
  <si>
    <t>الاجمالي</t>
  </si>
  <si>
    <t xml:space="preserve">فاكتور </t>
  </si>
  <si>
    <t>الاجمالي النهائي</t>
  </si>
  <si>
    <t>ارتفاع</t>
  </si>
  <si>
    <t>عرض</t>
  </si>
  <si>
    <t>زجاج 10 مم</t>
  </si>
  <si>
    <t>فاكتور</t>
  </si>
  <si>
    <t>هاندريل عدل</t>
  </si>
  <si>
    <t>قطاع التثبيت</t>
  </si>
  <si>
    <t xml:space="preserve">زجاج  10 مم </t>
  </si>
  <si>
    <t>كوبستة</t>
  </si>
  <si>
    <t>جلخ ألبا</t>
  </si>
  <si>
    <t>الاجمالي بعد الفاكتور</t>
  </si>
  <si>
    <t>خشب</t>
  </si>
  <si>
    <t>كوبايات</t>
  </si>
  <si>
    <t>هاندريل مائل</t>
  </si>
  <si>
    <t>الزجاج المنطبق</t>
  </si>
  <si>
    <t>تجاليد</t>
  </si>
  <si>
    <t>رش ريزن</t>
  </si>
  <si>
    <t>سيليكون</t>
  </si>
  <si>
    <t>أسقف زجاجية</t>
  </si>
  <si>
    <t>زوايا</t>
  </si>
  <si>
    <t>أرضيات زجاجية</t>
  </si>
  <si>
    <t>صنفرة</t>
  </si>
  <si>
    <t>قطاع</t>
  </si>
  <si>
    <t>طقم باب</t>
  </si>
  <si>
    <t>مقبض 60</t>
  </si>
  <si>
    <t>المجموع</t>
  </si>
  <si>
    <t>ماكينة ماب</t>
  </si>
  <si>
    <t>المتر المربع</t>
  </si>
  <si>
    <t>واجهة  نمطية</t>
  </si>
  <si>
    <t>طول</t>
  </si>
  <si>
    <t>اسبايدر زوجي</t>
  </si>
  <si>
    <t>اسبايدر ثنائي</t>
  </si>
  <si>
    <t>بلتة وسط</t>
  </si>
  <si>
    <t>بلتة ارضي</t>
  </si>
  <si>
    <t>زجاج الاسلحة</t>
  </si>
  <si>
    <t>واجهة  سبايدر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</si>
</sst>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 readingOrder="2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8:N18"/>
  <sheetViews>
    <sheetView tabSelected="1" topLeftCell="A4" workbookViewId="0">
      <selection activeCell="B8" sqref="B8:G8"/>
    </sheetView>
  </sheetViews>
  <sheetFormatPr defaultRowHeight="14.4" x14ac:dyDescent="0.3"/>
  <cols>
    <col min="14" max="14" width="11.33203125" customWidth="1"/>
  </cols>
  <sheetData>
    <row r="8" spans="2:14" ht="15.6" x14ac:dyDescent="0.3">
      <c r="B8" s="6" t="s">
        <v>11</v>
      </c>
      <c r="C8" s="6"/>
      <c r="D8" s="6"/>
      <c r="E8" s="6"/>
      <c r="F8" s="6"/>
      <c r="G8" s="6"/>
      <c r="I8" s="6" t="s">
        <v>19</v>
      </c>
      <c r="J8" s="6"/>
      <c r="K8" s="6"/>
      <c r="L8" s="6"/>
      <c r="M8" s="6"/>
      <c r="N8" s="6"/>
    </row>
    <row r="9" spans="2:14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7</v>
      </c>
      <c r="G9" s="1"/>
      <c r="I9" s="1" t="s">
        <v>0</v>
      </c>
      <c r="J9" s="1" t="s">
        <v>1</v>
      </c>
      <c r="K9" s="1" t="s">
        <v>2</v>
      </c>
      <c r="L9" s="1" t="s">
        <v>3</v>
      </c>
      <c r="M9" s="1" t="s">
        <v>7</v>
      </c>
      <c r="N9" s="1"/>
    </row>
    <row r="10" spans="2:14" x14ac:dyDescent="0.3">
      <c r="B10" s="1">
        <f>SUM(C10*D10)</f>
        <v>909</v>
      </c>
      <c r="C10" s="1">
        <v>1010</v>
      </c>
      <c r="D10" s="1">
        <f>SUM(E10*F10)</f>
        <v>0.9</v>
      </c>
      <c r="E10" s="1">
        <v>1</v>
      </c>
      <c r="F10" s="1">
        <v>0.9</v>
      </c>
      <c r="G10" s="1" t="s">
        <v>13</v>
      </c>
      <c r="I10" s="1">
        <f>SUM(J10*K10)</f>
        <v>909</v>
      </c>
      <c r="J10" s="1">
        <v>1010</v>
      </c>
      <c r="K10" s="1">
        <f>SUM(L10*M10)</f>
        <v>0.9</v>
      </c>
      <c r="L10" s="1">
        <v>1</v>
      </c>
      <c r="M10" s="1">
        <v>0.9</v>
      </c>
      <c r="N10" s="1" t="s">
        <v>13</v>
      </c>
    </row>
    <row r="11" spans="2:14" x14ac:dyDescent="0.3">
      <c r="B11" s="1">
        <f t="shared" ref="B11:B12" si="0">SUM(C11*D11)</f>
        <v>960</v>
      </c>
      <c r="C11" s="1">
        <v>960</v>
      </c>
      <c r="D11" s="1">
        <v>1</v>
      </c>
      <c r="E11" s="1"/>
      <c r="F11" s="1"/>
      <c r="G11" s="1" t="s">
        <v>12</v>
      </c>
      <c r="I11" s="1">
        <f>SUM(J11*K11)</f>
        <v>180</v>
      </c>
      <c r="J11" s="1">
        <v>200</v>
      </c>
      <c r="K11" s="1">
        <f>SUM(L11*M11)</f>
        <v>0.9</v>
      </c>
      <c r="L11" s="1">
        <v>1</v>
      </c>
      <c r="M11" s="1">
        <v>0.9</v>
      </c>
      <c r="N11" s="1" t="s">
        <v>17</v>
      </c>
    </row>
    <row r="12" spans="2:14" x14ac:dyDescent="0.3">
      <c r="B12" s="1">
        <f t="shared" si="0"/>
        <v>1400</v>
      </c>
      <c r="C12" s="1">
        <v>1400</v>
      </c>
      <c r="D12" s="1">
        <v>1</v>
      </c>
      <c r="E12" s="1"/>
      <c r="F12" s="1"/>
      <c r="G12" s="1" t="s">
        <v>14</v>
      </c>
      <c r="I12" s="1">
        <f t="shared" ref="I12" si="1">SUM(J12*K12)</f>
        <v>1600</v>
      </c>
      <c r="J12" s="1">
        <v>400</v>
      </c>
      <c r="K12" s="1">
        <v>4</v>
      </c>
      <c r="L12" s="1"/>
      <c r="M12" s="1"/>
      <c r="N12" s="1" t="s">
        <v>18</v>
      </c>
    </row>
    <row r="13" spans="2:14" ht="15.6" x14ac:dyDescent="0.3">
      <c r="B13" s="3">
        <f>SUM(B10:B12)</f>
        <v>3269</v>
      </c>
      <c r="C13" s="5" t="s">
        <v>4</v>
      </c>
      <c r="D13" s="5"/>
      <c r="E13" s="5"/>
      <c r="F13" s="5"/>
      <c r="G13" s="5"/>
      <c r="I13" s="1">
        <f t="shared" ref="I13" si="2">SUM(J13*K13)</f>
        <v>1400</v>
      </c>
      <c r="J13" s="1">
        <v>1400</v>
      </c>
      <c r="K13" s="1">
        <v>1</v>
      </c>
      <c r="L13" s="1"/>
      <c r="M13" s="1"/>
      <c r="N13" s="1" t="s">
        <v>14</v>
      </c>
    </row>
    <row r="14" spans="2:14" ht="15.6" x14ac:dyDescent="0.3">
      <c r="B14" s="3">
        <v>1.7</v>
      </c>
      <c r="C14" s="5" t="s">
        <v>5</v>
      </c>
      <c r="D14" s="5"/>
      <c r="E14" s="5"/>
      <c r="F14" s="5"/>
      <c r="G14" s="5"/>
      <c r="I14" s="3">
        <f>SUM(I10:I13)</f>
        <v>4089</v>
      </c>
      <c r="J14" s="5" t="s">
        <v>4</v>
      </c>
      <c r="K14" s="5"/>
      <c r="L14" s="5"/>
      <c r="M14" s="5"/>
      <c r="N14" s="5"/>
    </row>
    <row r="15" spans="2:14" ht="15.6" x14ac:dyDescent="0.3">
      <c r="B15" s="3">
        <f>SUM(B14*B13)</f>
        <v>5557.3</v>
      </c>
      <c r="C15" s="5" t="s">
        <v>6</v>
      </c>
      <c r="D15" s="5"/>
      <c r="E15" s="5"/>
      <c r="F15" s="5"/>
      <c r="G15" s="5"/>
      <c r="I15" s="3">
        <v>1.7</v>
      </c>
      <c r="J15" s="5" t="s">
        <v>5</v>
      </c>
      <c r="K15" s="5"/>
      <c r="L15" s="5"/>
      <c r="M15" s="5"/>
      <c r="N15" s="5"/>
    </row>
    <row r="16" spans="2:14" ht="15.6" x14ac:dyDescent="0.3">
      <c r="I16" s="3">
        <f>SUM(I15*I14)</f>
        <v>6951.3</v>
      </c>
      <c r="J16" s="5" t="s">
        <v>16</v>
      </c>
      <c r="K16" s="5"/>
      <c r="L16" s="5"/>
      <c r="M16" s="5"/>
      <c r="N16" s="5"/>
    </row>
    <row r="17" spans="9:14" x14ac:dyDescent="0.3">
      <c r="I17" s="1">
        <f t="shared" ref="I17" si="3">SUM(J17*K17)</f>
        <v>400</v>
      </c>
      <c r="J17" s="1">
        <v>400</v>
      </c>
      <c r="K17" s="1">
        <v>1</v>
      </c>
      <c r="L17" s="1"/>
      <c r="M17" s="1"/>
      <c r="N17" s="1" t="s">
        <v>15</v>
      </c>
    </row>
    <row r="18" spans="9:14" ht="15.6" x14ac:dyDescent="0.3">
      <c r="I18" s="3">
        <f>SUM(I16:I17)</f>
        <v>7351.3</v>
      </c>
      <c r="J18" s="5" t="s">
        <v>6</v>
      </c>
      <c r="K18" s="5"/>
      <c r="L18" s="5"/>
      <c r="M18" s="5"/>
      <c r="N18" s="5"/>
    </row>
  </sheetData>
  <mergeCells count="9">
    <mergeCell ref="J18:N18"/>
    <mergeCell ref="B8:G8"/>
    <mergeCell ref="C13:G13"/>
    <mergeCell ref="C14:G14"/>
    <mergeCell ref="C15:G15"/>
    <mergeCell ref="J14:N14"/>
    <mergeCell ref="I8:N8"/>
    <mergeCell ref="J15:N15"/>
    <mergeCell ref="J16:N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550B-014B-415A-977A-541CB707B7CE}">
  <dimension ref="B3:G11"/>
  <sheetViews>
    <sheetView workbookViewId="0">
      <selection activeCell="E19" sqref="E19"/>
    </sheetView>
  </sheetViews>
  <sheetFormatPr defaultRowHeight="14.4" x14ac:dyDescent="0.3"/>
  <sheetData>
    <row r="3" spans="2:7" ht="15.6" x14ac:dyDescent="0.3">
      <c r="B3" s="6" t="s">
        <v>21</v>
      </c>
      <c r="C3" s="6"/>
      <c r="D3" s="6"/>
      <c r="E3" s="6"/>
      <c r="F3" s="6"/>
      <c r="G3" s="6"/>
    </row>
    <row r="4" spans="2: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7</v>
      </c>
      <c r="G4" s="1"/>
    </row>
    <row r="5" spans="2:7" x14ac:dyDescent="0.3">
      <c r="B5" s="1">
        <f>SUM(C5*D5)</f>
        <v>1010</v>
      </c>
      <c r="C5" s="1">
        <v>1010</v>
      </c>
      <c r="D5" s="1">
        <f>SUM(E5*F5)</f>
        <v>1</v>
      </c>
      <c r="E5" s="1">
        <v>1</v>
      </c>
      <c r="F5" s="1">
        <v>1</v>
      </c>
      <c r="G5" s="1" t="s">
        <v>13</v>
      </c>
    </row>
    <row r="6" spans="2:7" x14ac:dyDescent="0.3">
      <c r="B6" s="1">
        <f>SUM(C6*D6)</f>
        <v>510</v>
      </c>
      <c r="C6" s="1">
        <v>510</v>
      </c>
      <c r="D6" s="1">
        <f>SUM(E6*F6)</f>
        <v>1</v>
      </c>
      <c r="E6" s="1">
        <v>1</v>
      </c>
      <c r="F6" s="1">
        <v>1</v>
      </c>
      <c r="G6" s="1" t="s">
        <v>22</v>
      </c>
    </row>
    <row r="7" spans="2:7" x14ac:dyDescent="0.3">
      <c r="B7" s="1">
        <f>SUM(C7*D7)</f>
        <v>190</v>
      </c>
      <c r="C7" s="1">
        <v>190</v>
      </c>
      <c r="D7" s="1">
        <v>1</v>
      </c>
      <c r="E7" s="1"/>
      <c r="F7" s="1"/>
      <c r="G7" s="1" t="s">
        <v>23</v>
      </c>
    </row>
    <row r="8" spans="2:7" x14ac:dyDescent="0.3">
      <c r="B8" s="1">
        <f>SUM(C8*D8)</f>
        <v>200</v>
      </c>
      <c r="C8" s="1">
        <v>200</v>
      </c>
      <c r="D8" s="1">
        <f>SUM(E8*F8)</f>
        <v>1</v>
      </c>
      <c r="E8" s="1">
        <v>1</v>
      </c>
      <c r="F8" s="1">
        <v>1</v>
      </c>
      <c r="G8" s="1" t="s">
        <v>17</v>
      </c>
    </row>
    <row r="9" spans="2:7" ht="15.6" x14ac:dyDescent="0.3">
      <c r="B9" s="3">
        <f>SUM(B5:B8)</f>
        <v>1910</v>
      </c>
      <c r="C9" s="5" t="s">
        <v>4</v>
      </c>
      <c r="D9" s="5"/>
      <c r="E9" s="5"/>
      <c r="F9" s="5"/>
      <c r="G9" s="5"/>
    </row>
    <row r="10" spans="2:7" ht="15.6" x14ac:dyDescent="0.3">
      <c r="B10" s="3">
        <v>1.7</v>
      </c>
      <c r="C10" s="5" t="s">
        <v>5</v>
      </c>
      <c r="D10" s="5"/>
      <c r="E10" s="5"/>
      <c r="F10" s="5"/>
      <c r="G10" s="5"/>
    </row>
    <row r="11" spans="2:7" ht="15.6" x14ac:dyDescent="0.3">
      <c r="B11" s="3">
        <f>SUM(B10*B9)</f>
        <v>3247</v>
      </c>
      <c r="C11" s="5" t="s">
        <v>6</v>
      </c>
      <c r="D11" s="5"/>
      <c r="E11" s="5"/>
      <c r="F11" s="5"/>
      <c r="G11" s="5"/>
    </row>
  </sheetData>
  <mergeCells count="4">
    <mergeCell ref="B3:G3"/>
    <mergeCell ref="C9:G9"/>
    <mergeCell ref="C10:G10"/>
    <mergeCell ref="C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39296-2969-4B0A-9CA2-C942FBCE5089}">
  <dimension ref="B3:G8"/>
  <sheetViews>
    <sheetView workbookViewId="0">
      <selection activeCell="E16" sqref="E16"/>
    </sheetView>
  </sheetViews>
  <sheetFormatPr defaultRowHeight="14.4" x14ac:dyDescent="0.3"/>
  <sheetData>
    <row r="3" spans="2:7" ht="15.6" x14ac:dyDescent="0.3">
      <c r="B3" s="6" t="s">
        <v>20</v>
      </c>
      <c r="C3" s="6"/>
      <c r="D3" s="6"/>
      <c r="E3" s="6"/>
      <c r="F3" s="6"/>
      <c r="G3" s="6"/>
    </row>
    <row r="4" spans="2: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7</v>
      </c>
      <c r="G4" s="1"/>
    </row>
    <row r="5" spans="2:7" x14ac:dyDescent="0.3">
      <c r="B5" s="1">
        <f>SUM(C5*D5)</f>
        <v>7878.0000000000009</v>
      </c>
      <c r="C5" s="1">
        <v>1010</v>
      </c>
      <c r="D5" s="1">
        <f>SUM(E5*F5)</f>
        <v>7.8000000000000007</v>
      </c>
      <c r="E5" s="1">
        <v>3</v>
      </c>
      <c r="F5" s="1">
        <v>2.6</v>
      </c>
      <c r="G5" s="1" t="s">
        <v>13</v>
      </c>
    </row>
    <row r="6" spans="2:7" ht="15.6" x14ac:dyDescent="0.3">
      <c r="B6" s="3">
        <f>SUM(B5:B5)</f>
        <v>7878.0000000000009</v>
      </c>
      <c r="C6" s="5" t="s">
        <v>4</v>
      </c>
      <c r="D6" s="5"/>
      <c r="E6" s="5"/>
      <c r="F6" s="5"/>
      <c r="G6" s="5"/>
    </row>
    <row r="7" spans="2:7" ht="15.6" x14ac:dyDescent="0.3">
      <c r="B7" s="3">
        <v>1.7</v>
      </c>
      <c r="C7" s="5" t="s">
        <v>5</v>
      </c>
      <c r="D7" s="5"/>
      <c r="E7" s="5"/>
      <c r="F7" s="5"/>
      <c r="G7" s="5"/>
    </row>
    <row r="8" spans="2:7" ht="15.6" x14ac:dyDescent="0.3">
      <c r="B8" s="3">
        <f>SUM(B7*B6)</f>
        <v>13392.6</v>
      </c>
      <c r="C8" s="5" t="s">
        <v>6</v>
      </c>
      <c r="D8" s="5"/>
      <c r="E8" s="5"/>
      <c r="F8" s="5"/>
      <c r="G8" s="5"/>
    </row>
  </sheetData>
  <mergeCells count="4">
    <mergeCell ref="B3:G3"/>
    <mergeCell ref="C6:G6"/>
    <mergeCell ref="C7:G7"/>
    <mergeCell ref="C8:G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30124-357C-42EB-A7D7-D8150F3239D0}">
  <dimension ref="B3:G10"/>
  <sheetViews>
    <sheetView workbookViewId="0">
      <selection activeCell="F15" sqref="F15"/>
    </sheetView>
  </sheetViews>
  <sheetFormatPr defaultRowHeight="14.4" x14ac:dyDescent="0.3"/>
  <sheetData>
    <row r="3" spans="2:7" ht="15.6" x14ac:dyDescent="0.3">
      <c r="B3" s="6" t="s">
        <v>24</v>
      </c>
      <c r="C3" s="6"/>
      <c r="D3" s="6"/>
      <c r="E3" s="6"/>
      <c r="F3" s="6"/>
      <c r="G3" s="6"/>
    </row>
    <row r="4" spans="2: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7</v>
      </c>
      <c r="G4" s="1"/>
    </row>
    <row r="5" spans="2:7" x14ac:dyDescent="0.3">
      <c r="B5" s="1">
        <f>SUM(C5*D5)</f>
        <v>1010</v>
      </c>
      <c r="C5" s="1">
        <v>1010</v>
      </c>
      <c r="D5" s="1">
        <f>SUM(E5*F5)</f>
        <v>1</v>
      </c>
      <c r="E5" s="1">
        <v>1</v>
      </c>
      <c r="F5" s="1">
        <v>1</v>
      </c>
      <c r="G5" s="1" t="s">
        <v>13</v>
      </c>
    </row>
    <row r="6" spans="2:7" x14ac:dyDescent="0.3">
      <c r="B6" s="1">
        <f>SUM(C6*D6)</f>
        <v>350</v>
      </c>
      <c r="C6" s="1">
        <v>70</v>
      </c>
      <c r="D6" s="1">
        <v>5</v>
      </c>
      <c r="E6" s="1"/>
      <c r="F6" s="1"/>
      <c r="G6" s="1" t="s">
        <v>25</v>
      </c>
    </row>
    <row r="7" spans="2:7" x14ac:dyDescent="0.3">
      <c r="B7" s="1">
        <f>SUM(C7*D7)</f>
        <v>190</v>
      </c>
      <c r="C7" s="1">
        <v>190</v>
      </c>
      <c r="D7" s="1">
        <v>1</v>
      </c>
      <c r="E7" s="1"/>
      <c r="F7" s="1"/>
      <c r="G7" s="1" t="s">
        <v>23</v>
      </c>
    </row>
    <row r="8" spans="2:7" ht="15.6" x14ac:dyDescent="0.3">
      <c r="B8" s="3">
        <f>SUM(B5:B7)</f>
        <v>1550</v>
      </c>
      <c r="C8" s="5" t="s">
        <v>4</v>
      </c>
      <c r="D8" s="5"/>
      <c r="E8" s="5"/>
      <c r="F8" s="5"/>
      <c r="G8" s="5"/>
    </row>
    <row r="9" spans="2:7" ht="15.6" x14ac:dyDescent="0.3">
      <c r="B9" s="3">
        <v>1.7</v>
      </c>
      <c r="C9" s="5" t="s">
        <v>5</v>
      </c>
      <c r="D9" s="5"/>
      <c r="E9" s="5"/>
      <c r="F9" s="5"/>
      <c r="G9" s="5"/>
    </row>
    <row r="10" spans="2:7" ht="15.6" x14ac:dyDescent="0.3">
      <c r="B10" s="3">
        <f>SUM(B9*B8)</f>
        <v>2635</v>
      </c>
      <c r="C10" s="5" t="s">
        <v>6</v>
      </c>
      <c r="D10" s="5"/>
      <c r="E10" s="5"/>
      <c r="F10" s="5"/>
      <c r="G10" s="5"/>
    </row>
  </sheetData>
  <mergeCells count="4">
    <mergeCell ref="B3:G3"/>
    <mergeCell ref="C8:G8"/>
    <mergeCell ref="C9:G9"/>
    <mergeCell ref="C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AF9E-063F-42BF-AB18-94DE76411FED}">
  <dimension ref="B3:G11"/>
  <sheetViews>
    <sheetView workbookViewId="0">
      <selection activeCell="F15" sqref="F15"/>
    </sheetView>
  </sheetViews>
  <sheetFormatPr defaultRowHeight="14.4" x14ac:dyDescent="0.3"/>
  <sheetData>
    <row r="3" spans="2:7" ht="15.6" x14ac:dyDescent="0.3">
      <c r="B3" s="6" t="s">
        <v>26</v>
      </c>
      <c r="C3" s="6"/>
      <c r="D3" s="6"/>
      <c r="E3" s="6"/>
      <c r="F3" s="6"/>
      <c r="G3" s="6"/>
    </row>
    <row r="4" spans="2: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7</v>
      </c>
      <c r="G4" s="1"/>
    </row>
    <row r="5" spans="2:7" x14ac:dyDescent="0.3">
      <c r="B5" s="1">
        <f>SUM(C5*D5)</f>
        <v>1010</v>
      </c>
      <c r="C5" s="1">
        <v>1010</v>
      </c>
      <c r="D5" s="1">
        <f>SUM(E5*F5)</f>
        <v>1</v>
      </c>
      <c r="E5" s="1">
        <v>1</v>
      </c>
      <c r="F5" s="1">
        <v>1</v>
      </c>
      <c r="G5" s="1" t="s">
        <v>13</v>
      </c>
    </row>
    <row r="6" spans="2:7" x14ac:dyDescent="0.3">
      <c r="B6" s="1">
        <f>SUM(C6*D6)</f>
        <v>108</v>
      </c>
      <c r="C6" s="1">
        <v>108</v>
      </c>
      <c r="D6" s="1">
        <f>SUM(E6*F6)</f>
        <v>1</v>
      </c>
      <c r="E6" s="1">
        <v>1</v>
      </c>
      <c r="F6" s="1">
        <v>1</v>
      </c>
      <c r="G6" s="1" t="s">
        <v>27</v>
      </c>
    </row>
    <row r="7" spans="2:7" x14ac:dyDescent="0.3">
      <c r="B7" s="1">
        <f>SUM(C7*D7)</f>
        <v>350</v>
      </c>
      <c r="C7" s="1">
        <v>70</v>
      </c>
      <c r="D7" s="1">
        <v>5</v>
      </c>
      <c r="E7" s="1"/>
      <c r="F7" s="1"/>
      <c r="G7" s="1" t="s">
        <v>25</v>
      </c>
    </row>
    <row r="8" spans="2:7" x14ac:dyDescent="0.3">
      <c r="B8" s="1">
        <f>SUM(C8*D8)</f>
        <v>190</v>
      </c>
      <c r="C8" s="1">
        <v>190</v>
      </c>
      <c r="D8" s="1">
        <v>1</v>
      </c>
      <c r="E8" s="1"/>
      <c r="F8" s="1"/>
      <c r="G8" s="1" t="s">
        <v>23</v>
      </c>
    </row>
    <row r="9" spans="2:7" ht="15.6" x14ac:dyDescent="0.3">
      <c r="B9" s="3">
        <f>SUM(B5:B8)</f>
        <v>1658</v>
      </c>
      <c r="C9" s="5" t="s">
        <v>4</v>
      </c>
      <c r="D9" s="5"/>
      <c r="E9" s="5"/>
      <c r="F9" s="5"/>
      <c r="G9" s="5"/>
    </row>
    <row r="10" spans="2:7" ht="15.6" x14ac:dyDescent="0.3">
      <c r="B10" s="3">
        <v>1.7</v>
      </c>
      <c r="C10" s="5" t="s">
        <v>5</v>
      </c>
      <c r="D10" s="5"/>
      <c r="E10" s="5"/>
      <c r="F10" s="5"/>
      <c r="G10" s="5"/>
    </row>
    <row r="11" spans="2:7" ht="15.6" x14ac:dyDescent="0.3">
      <c r="B11" s="3">
        <f>SUM(B10*B9)</f>
        <v>2818.6</v>
      </c>
      <c r="C11" s="5" t="s">
        <v>6</v>
      </c>
      <c r="D11" s="5"/>
      <c r="E11" s="5"/>
      <c r="F11" s="5"/>
      <c r="G11" s="5"/>
    </row>
  </sheetData>
  <mergeCells count="4">
    <mergeCell ref="B3:G3"/>
    <mergeCell ref="C9:G9"/>
    <mergeCell ref="C10:G10"/>
    <mergeCell ref="C11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9CE7-A36D-46A4-AA8F-90108BB8D6CB}">
  <dimension ref="C3:H17"/>
  <sheetViews>
    <sheetView workbookViewId="0">
      <selection activeCell="G20" sqref="G20"/>
    </sheetView>
  </sheetViews>
  <sheetFormatPr defaultRowHeight="14.4" x14ac:dyDescent="0.3"/>
  <sheetData>
    <row r="3" spans="3:8" ht="15.6" x14ac:dyDescent="0.3">
      <c r="C3" s="6" t="s">
        <v>34</v>
      </c>
      <c r="D3" s="6"/>
      <c r="E3" s="6"/>
      <c r="F3" s="6"/>
      <c r="G3" s="6"/>
      <c r="H3" s="6"/>
    </row>
    <row r="4" spans="3:8" x14ac:dyDescent="0.3">
      <c r="C4" s="1" t="s">
        <v>1</v>
      </c>
      <c r="D4" s="1" t="s">
        <v>0</v>
      </c>
      <c r="E4" s="1" t="s">
        <v>2</v>
      </c>
      <c r="F4" s="1" t="s">
        <v>8</v>
      </c>
      <c r="G4" s="1" t="s">
        <v>7</v>
      </c>
      <c r="H4" s="1"/>
    </row>
    <row r="5" spans="3:8" x14ac:dyDescent="0.3">
      <c r="C5" s="1">
        <f>SUM(E5*D5)</f>
        <v>23805.600000000002</v>
      </c>
      <c r="D5" s="1">
        <v>1090</v>
      </c>
      <c r="E5" s="1">
        <f>SUM(G5*F5)</f>
        <v>21.840000000000003</v>
      </c>
      <c r="F5" s="1">
        <f>5.4+3</f>
        <v>8.4</v>
      </c>
      <c r="G5" s="1">
        <v>2.6</v>
      </c>
      <c r="H5" s="1" t="s">
        <v>9</v>
      </c>
    </row>
    <row r="6" spans="3:8" x14ac:dyDescent="0.3">
      <c r="C6" s="1">
        <f>SUM(E6*D6)</f>
        <v>10016.4</v>
      </c>
      <c r="D6" s="1">
        <v>491</v>
      </c>
      <c r="E6" s="1">
        <f>SUM(G6+F6)*2-1.6</f>
        <v>20.399999999999999</v>
      </c>
      <c r="F6" s="1">
        <f>5.4+3</f>
        <v>8.4</v>
      </c>
      <c r="G6" s="1">
        <v>2.6</v>
      </c>
      <c r="H6" s="2" t="s">
        <v>28</v>
      </c>
    </row>
    <row r="7" spans="3:8" x14ac:dyDescent="0.3">
      <c r="C7" s="1">
        <f t="shared" ref="C7:C8" si="0">SUM(E7*D7)</f>
        <v>2970</v>
      </c>
      <c r="D7" s="1">
        <v>1485</v>
      </c>
      <c r="E7" s="1">
        <v>2</v>
      </c>
      <c r="F7" s="1"/>
      <c r="G7" s="1"/>
      <c r="H7" s="1" t="s">
        <v>29</v>
      </c>
    </row>
    <row r="8" spans="3:8" x14ac:dyDescent="0.3">
      <c r="C8" s="1">
        <f t="shared" si="0"/>
        <v>824</v>
      </c>
      <c r="D8" s="1">
        <v>412</v>
      </c>
      <c r="E8" s="1">
        <v>2</v>
      </c>
      <c r="F8" s="1"/>
      <c r="G8" s="1"/>
      <c r="H8" s="1" t="s">
        <v>30</v>
      </c>
    </row>
    <row r="9" spans="3:8" ht="15.6" x14ac:dyDescent="0.3">
      <c r="C9" s="3">
        <f>SUM(C5:C8)</f>
        <v>37616</v>
      </c>
      <c r="D9" s="5" t="s">
        <v>31</v>
      </c>
      <c r="E9" s="5"/>
      <c r="F9" s="5"/>
      <c r="G9" s="5"/>
      <c r="H9" s="5"/>
    </row>
    <row r="10" spans="3:8" ht="15.6" x14ac:dyDescent="0.3">
      <c r="C10" s="3">
        <v>1.7</v>
      </c>
      <c r="D10" s="7" t="s">
        <v>10</v>
      </c>
      <c r="E10" s="8"/>
      <c r="F10" s="8"/>
      <c r="G10" s="8"/>
      <c r="H10" s="9"/>
    </row>
    <row r="11" spans="3:8" ht="15.6" x14ac:dyDescent="0.3">
      <c r="C11" s="3">
        <f>SUM(C10*C9)</f>
        <v>63947.199999999997</v>
      </c>
      <c r="D11" s="5" t="s">
        <v>4</v>
      </c>
      <c r="E11" s="5"/>
      <c r="F11" s="5"/>
      <c r="G11" s="5"/>
      <c r="H11" s="5"/>
    </row>
    <row r="12" spans="3:8" x14ac:dyDescent="0.3">
      <c r="C12" s="1">
        <f>SUM(E12*D12)</f>
        <v>10400</v>
      </c>
      <c r="D12" s="1">
        <v>5200</v>
      </c>
      <c r="E12" s="1">
        <v>2</v>
      </c>
      <c r="F12" s="1"/>
      <c r="G12" s="1"/>
      <c r="H12" s="1" t="s">
        <v>32</v>
      </c>
    </row>
    <row r="13" spans="3:8" x14ac:dyDescent="0.3">
      <c r="C13" s="1">
        <v>1.5</v>
      </c>
      <c r="D13" s="10" t="s">
        <v>10</v>
      </c>
      <c r="E13" s="11"/>
      <c r="F13" s="11"/>
      <c r="G13" s="11"/>
      <c r="H13" s="12"/>
    </row>
    <row r="14" spans="3:8" x14ac:dyDescent="0.3">
      <c r="C14" s="1">
        <f>SUM(C13*C12)</f>
        <v>15600</v>
      </c>
      <c r="D14" s="4" t="s">
        <v>4</v>
      </c>
      <c r="E14" s="4"/>
      <c r="F14" s="4"/>
      <c r="G14" s="4"/>
      <c r="H14" s="4"/>
    </row>
    <row r="15" spans="3:8" ht="15.6" x14ac:dyDescent="0.3">
      <c r="C15" s="3">
        <f>SUM(C14+C11)</f>
        <v>79547.199999999997</v>
      </c>
      <c r="D15" s="5" t="s">
        <v>6</v>
      </c>
      <c r="E15" s="5"/>
      <c r="F15" s="5"/>
      <c r="G15" s="5"/>
      <c r="H15" s="5"/>
    </row>
    <row r="16" spans="3:8" ht="15.6" x14ac:dyDescent="0.3">
      <c r="C16" s="3">
        <f>SUM(E5)</f>
        <v>21.840000000000003</v>
      </c>
      <c r="D16" s="5" t="s">
        <v>33</v>
      </c>
      <c r="E16" s="5"/>
      <c r="F16" s="5"/>
      <c r="G16" s="5"/>
      <c r="H16" s="5"/>
    </row>
    <row r="17" spans="3:8" ht="15.6" x14ac:dyDescent="0.3">
      <c r="C17" s="3">
        <f>SUM(C15/C16)</f>
        <v>3642.2710622710615</v>
      </c>
      <c r="D17" s="5" t="s">
        <v>6</v>
      </c>
      <c r="E17" s="5"/>
      <c r="F17" s="5"/>
      <c r="G17" s="5"/>
      <c r="H17" s="5"/>
    </row>
  </sheetData>
  <mergeCells count="9">
    <mergeCell ref="D15:H15"/>
    <mergeCell ref="D16:H16"/>
    <mergeCell ref="D17:H17"/>
    <mergeCell ref="C3:H3"/>
    <mergeCell ref="D9:H9"/>
    <mergeCell ref="D10:H10"/>
    <mergeCell ref="D11:H11"/>
    <mergeCell ref="D13:H13"/>
    <mergeCell ref="D14:H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8048E-42B7-4F68-9D61-EB0E0FB91129}">
  <dimension ref="C3:H17"/>
  <sheetViews>
    <sheetView workbookViewId="0">
      <selection activeCell="F20" sqref="F20"/>
    </sheetView>
  </sheetViews>
  <sheetFormatPr defaultRowHeight="14.4" x14ac:dyDescent="0.3"/>
  <cols>
    <col min="8" max="8" width="10.109375" bestFit="1" customWidth="1"/>
  </cols>
  <sheetData>
    <row r="3" spans="3:8" ht="15.6" x14ac:dyDescent="0.3">
      <c r="C3" s="6" t="s">
        <v>41</v>
      </c>
      <c r="D3" s="6"/>
      <c r="E3" s="6"/>
      <c r="F3" s="6"/>
      <c r="G3" s="6"/>
      <c r="H3" s="6"/>
    </row>
    <row r="4" spans="3:8" x14ac:dyDescent="0.3">
      <c r="C4" s="1" t="s">
        <v>1</v>
      </c>
      <c r="D4" s="1" t="s">
        <v>0</v>
      </c>
      <c r="E4" s="1" t="s">
        <v>2</v>
      </c>
      <c r="F4" s="1" t="s">
        <v>8</v>
      </c>
      <c r="G4" s="1" t="s">
        <v>35</v>
      </c>
      <c r="H4" s="1"/>
    </row>
    <row r="5" spans="3:8" x14ac:dyDescent="0.3">
      <c r="C5" s="1">
        <f>SUM(E5*D5)</f>
        <v>54098.880000000005</v>
      </c>
      <c r="D5" s="1">
        <v>1090</v>
      </c>
      <c r="E5" s="1">
        <f>SUM(G5*F5)</f>
        <v>49.632000000000005</v>
      </c>
      <c r="F5" s="1">
        <v>9.4</v>
      </c>
      <c r="G5" s="1">
        <v>5.28</v>
      </c>
      <c r="H5" s="1" t="s">
        <v>9</v>
      </c>
    </row>
    <row r="6" spans="3:8" x14ac:dyDescent="0.3">
      <c r="C6" s="1">
        <f>SUM(E6*D6)</f>
        <v>14415.76</v>
      </c>
      <c r="D6" s="1">
        <v>491</v>
      </c>
      <c r="E6" s="1">
        <f>SUM(G6+F6)*2</f>
        <v>29.36</v>
      </c>
      <c r="F6" s="1">
        <v>9.4</v>
      </c>
      <c r="G6" s="1">
        <v>5.28</v>
      </c>
      <c r="H6" s="2" t="s">
        <v>28</v>
      </c>
    </row>
    <row r="7" spans="3:8" x14ac:dyDescent="0.3">
      <c r="C7" s="1">
        <f>SUM(D7*E7)</f>
        <v>10800</v>
      </c>
      <c r="D7" s="1">
        <v>1800</v>
      </c>
      <c r="E7" s="1">
        <v>6</v>
      </c>
      <c r="F7" s="1"/>
      <c r="G7" s="1"/>
      <c r="H7" s="2" t="s">
        <v>36</v>
      </c>
    </row>
    <row r="8" spans="3:8" x14ac:dyDescent="0.3">
      <c r="C8" s="1">
        <f>SUM(D8*E8)</f>
        <v>12600</v>
      </c>
      <c r="D8" s="1">
        <v>900</v>
      </c>
      <c r="E8" s="1">
        <v>14</v>
      </c>
      <c r="F8" s="1"/>
      <c r="G8" s="1"/>
      <c r="H8" s="2" t="s">
        <v>37</v>
      </c>
    </row>
    <row r="9" spans="3:8" x14ac:dyDescent="0.3">
      <c r="C9" s="1">
        <f t="shared" ref="C9:C11" si="0">SUM(D9*E9)</f>
        <v>1560</v>
      </c>
      <c r="D9" s="1">
        <v>65</v>
      </c>
      <c r="E9" s="1">
        <f>12*2</f>
        <v>24</v>
      </c>
      <c r="F9" s="1"/>
      <c r="G9" s="1"/>
      <c r="H9" s="2" t="s">
        <v>25</v>
      </c>
    </row>
    <row r="10" spans="3:8" x14ac:dyDescent="0.3">
      <c r="C10" s="1">
        <f t="shared" si="0"/>
        <v>13950</v>
      </c>
      <c r="D10" s="1">
        <v>2325</v>
      </c>
      <c r="E10" s="1">
        <v>6</v>
      </c>
      <c r="F10" s="1"/>
      <c r="G10" s="1"/>
      <c r="H10" s="2" t="s">
        <v>38</v>
      </c>
    </row>
    <row r="11" spans="3:8" x14ac:dyDescent="0.3">
      <c r="C11" s="1">
        <f t="shared" si="0"/>
        <v>14400</v>
      </c>
      <c r="D11" s="1">
        <v>1200</v>
      </c>
      <c r="E11" s="1">
        <f>12</f>
        <v>12</v>
      </c>
      <c r="F11" s="1"/>
      <c r="G11" s="1"/>
      <c r="H11" s="2" t="s">
        <v>39</v>
      </c>
    </row>
    <row r="12" spans="3:8" x14ac:dyDescent="0.3">
      <c r="C12" s="1">
        <f t="shared" ref="C12" si="1">SUM(E12*D12)</f>
        <v>41912.640000000007</v>
      </c>
      <c r="D12" s="1">
        <f>1090+1090+1600</f>
        <v>3780</v>
      </c>
      <c r="E12" s="1">
        <f>SUM(G12*F12*7)</f>
        <v>11.088000000000001</v>
      </c>
      <c r="F12" s="1">
        <v>0.3</v>
      </c>
      <c r="G12" s="1">
        <v>5.28</v>
      </c>
      <c r="H12" s="1" t="s">
        <v>40</v>
      </c>
    </row>
    <row r="13" spans="3:8" ht="15.6" x14ac:dyDescent="0.3">
      <c r="C13" s="3">
        <f>SUM(C5:C12)</f>
        <v>163737.28</v>
      </c>
      <c r="D13" s="5" t="s">
        <v>31</v>
      </c>
      <c r="E13" s="5"/>
      <c r="F13" s="5"/>
      <c r="G13" s="5"/>
      <c r="H13" s="5"/>
    </row>
    <row r="14" spans="3:8" ht="15.6" x14ac:dyDescent="0.3">
      <c r="C14" s="3">
        <v>1.7</v>
      </c>
      <c r="D14" s="7" t="s">
        <v>10</v>
      </c>
      <c r="E14" s="8"/>
      <c r="F14" s="8"/>
      <c r="G14" s="8"/>
      <c r="H14" s="9"/>
    </row>
    <row r="15" spans="3:8" ht="15.6" x14ac:dyDescent="0.3">
      <c r="C15" s="3">
        <f>SUM(C14*C13)</f>
        <v>278353.37599999999</v>
      </c>
      <c r="D15" s="5" t="s">
        <v>4</v>
      </c>
      <c r="E15" s="5"/>
      <c r="F15" s="5"/>
      <c r="G15" s="5"/>
      <c r="H15" s="5"/>
    </row>
    <row r="16" spans="3:8" ht="15.6" x14ac:dyDescent="0.3">
      <c r="C16" s="3">
        <v>49.6</v>
      </c>
      <c r="D16" s="5" t="s">
        <v>33</v>
      </c>
      <c r="E16" s="5"/>
      <c r="F16" s="5"/>
      <c r="G16" s="5"/>
      <c r="H16" s="5"/>
    </row>
    <row r="17" spans="3:8" ht="15.6" x14ac:dyDescent="0.3">
      <c r="C17" s="3">
        <f>SUM(C15/C16)</f>
        <v>5611.9632258064512</v>
      </c>
      <c r="D17" s="5" t="s">
        <v>4</v>
      </c>
      <c r="E17" s="5"/>
      <c r="F17" s="5"/>
      <c r="G17" s="5"/>
      <c r="H17" s="5"/>
    </row>
  </sheetData>
  <mergeCells count="6">
    <mergeCell ref="C3:H3"/>
    <mergeCell ref="D13:H13"/>
    <mergeCell ref="D14:H14"/>
    <mergeCell ref="D15:H15"/>
    <mergeCell ref="D16:H16"/>
    <mergeCell ref="D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هاندريل</vt:lpstr>
      <vt:lpstr>تجاليد</vt:lpstr>
      <vt:lpstr>زجاج منطبق</vt:lpstr>
      <vt:lpstr>أسقف زجاجية</vt:lpstr>
      <vt:lpstr>أرضيات زجاجية</vt:lpstr>
      <vt:lpstr>واجهات نمطية</vt:lpstr>
      <vt:lpstr>واجهات سبايدر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2026-06-22T13:50:48Z</dcterms:modified>
</cp:coreProperties>
</file>